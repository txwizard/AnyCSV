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ource_Code\Visual_Studio\Projects\WizardWrx_Libs\AnyCSV\scripts\"/>
    </mc:Choice>
  </mc:AlternateContent>
  <xr:revisionPtr revIDLastSave="0" documentId="13_ncr:1_{3B5DB8C1-EEAB-4E58-B003-27BCDD38CED7}" xr6:coauthVersionLast="43" xr6:coauthVersionMax="43" xr10:uidLastSave="{00000000-0000-0000-0000-000000000000}"/>
  <bookViews>
    <workbookView xWindow="1950" yWindow="1950" windowWidth="23040" windowHeight="11610" firstSheet="1" activeTab="3" xr2:uid="{00000000-000D-0000-FFFF-FFFF00000000}"/>
  </bookViews>
  <sheets>
    <sheet name="Index" sheetId="7" r:id="rId1"/>
    <sheet name="Index of Named Ranges" sheetId="6" r:id="rId2"/>
    <sheet name="P6CXlsLib4 Demonstrations" sheetId="3" r:id="rId3"/>
    <sheet name="AnyCSV Test Cases" sheetId="4" r:id="rId4"/>
    <sheet name="Variant Subtype Constants" sheetId="5" r:id="rId5"/>
  </sheets>
  <functionGroups builtInGroupCount="19"/>
  <externalReferences>
    <externalReference r:id="rId6"/>
  </externalReferences>
  <definedNames>
    <definedName name="__Workbook_Index">Index!$A$1:$A$4</definedName>
    <definedName name="Demonstration_Range_Name">'P6CXlsLib4 Demonstrations'!$B$11</definedName>
    <definedName name="LastNonBlankCellAbove_Demonstration">'P6CXlsLib4 Demonstrations'!$A$18:$D$60</definedName>
    <definedName name="m_MiscFunctions__Demonstrations">'P6CXlsLib4 Demonstrations'!$A$2:$B$8</definedName>
    <definedName name="VariantSubtypeConstants_ByDecValue_Details">'Variant Subtype Constants'!$B$2:$F$24</definedName>
    <definedName name="VariantSubtypeConstants_ByDecValue_Labels">'Variant Subtype Constants'!$B$1:$F$1</definedName>
    <definedName name="VariantSubtypeConstants_ByHexValue_Details">'Variant Subtype Constants'!$C$2:$F$24</definedName>
    <definedName name="VariantSubtypeConstants_ByHexValue_Labels">'Variant Subtype Constants'!$C$1:$F$1</definedName>
    <definedName name="VariantSubtypeConstants_BySymbolName_Details">'Variant Subtype Constants'!$A$2:$E$24</definedName>
    <definedName name="VariantSubtypeConstants_BySymbolName_Labels">'Variant Subtype Constants'!$A$1:$E$1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" i="3" l="1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B19" i="3"/>
  <c r="A19" i="3"/>
  <c r="E3" i="4"/>
  <c r="O12" i="4"/>
  <c r="C8" i="4"/>
  <c r="F4" i="4"/>
  <c r="K11" i="4"/>
  <c r="L6" i="4"/>
  <c r="L8" i="4"/>
  <c r="I8" i="4"/>
  <c r="J3" i="4"/>
  <c r="D12" i="4"/>
  <c r="E7" i="4"/>
  <c r="N5" i="4"/>
  <c r="M10" i="4"/>
  <c r="G3" i="4"/>
  <c r="I12" i="4"/>
  <c r="J7" i="4"/>
  <c r="H12" i="4"/>
  <c r="C3" i="4"/>
  <c r="G12" i="4"/>
  <c r="H7" i="4"/>
  <c r="F5" i="4"/>
  <c r="C11" i="4"/>
  <c r="D6" i="4"/>
  <c r="M12" i="4"/>
  <c r="N7" i="4"/>
  <c r="D7" i="4"/>
  <c r="I11" i="4"/>
  <c r="J6" i="4"/>
  <c r="L10" i="4"/>
  <c r="E10" i="4"/>
  <c r="I7" i="4"/>
  <c r="N11" i="4"/>
  <c r="O6" i="4"/>
  <c r="M11" i="4"/>
  <c r="J9" i="4"/>
  <c r="F11" i="4"/>
  <c r="E11" i="4"/>
  <c r="E8" i="4"/>
  <c r="L11" i="4"/>
  <c r="M6" i="4"/>
  <c r="D10" i="4"/>
  <c r="H10" i="4"/>
  <c r="I5" i="4"/>
  <c r="E12" i="4"/>
  <c r="F7" i="4"/>
  <c r="C4" i="4"/>
  <c r="N10" i="4"/>
  <c r="O5" i="4"/>
  <c r="H6" i="4"/>
  <c r="J12" i="4"/>
  <c r="G6" i="4"/>
  <c r="K7" i="4"/>
  <c r="D11" i="4"/>
  <c r="E6" i="4"/>
  <c r="C7" i="4"/>
  <c r="M9" i="4"/>
  <c r="N4" i="4"/>
  <c r="J11" i="4"/>
  <c r="K6" i="4"/>
  <c r="N8" i="4"/>
  <c r="F10" i="4"/>
  <c r="G5" i="4"/>
  <c r="G9" i="4"/>
  <c r="O8" i="4"/>
  <c r="O11" i="4"/>
  <c r="K10" i="4"/>
  <c r="L5" i="4"/>
  <c r="J10" i="4"/>
  <c r="O9" i="4"/>
  <c r="L3" i="4"/>
  <c r="M5" i="4"/>
  <c r="M7" i="4"/>
  <c r="D3" i="4"/>
  <c r="I10" i="4"/>
  <c r="J5" i="4"/>
  <c r="O3" i="4"/>
  <c r="E9" i="4"/>
  <c r="K3" i="4"/>
  <c r="O10" i="4"/>
  <c r="C6" i="4"/>
  <c r="J4" i="4"/>
  <c r="K9" i="4"/>
  <c r="L4" i="4"/>
  <c r="C5" i="4"/>
  <c r="L7" i="4"/>
  <c r="G11" i="4"/>
  <c r="C10" i="4"/>
  <c r="D5" i="4"/>
  <c r="F12" i="4"/>
  <c r="L12" i="4"/>
  <c r="K5" i="4"/>
  <c r="N9" i="4"/>
  <c r="O4" i="4"/>
  <c r="F6" i="4"/>
  <c r="J8" i="4"/>
  <c r="K4" i="4"/>
  <c r="G10" i="4"/>
  <c r="H5" i="4"/>
  <c r="D8" i="4"/>
  <c r="C9" i="4"/>
  <c r="D4" i="4"/>
  <c r="K12" i="4"/>
  <c r="I6" i="4"/>
  <c r="F8" i="4"/>
  <c r="H9" i="4"/>
  <c r="I4" i="4"/>
  <c r="N6" i="4"/>
  <c r="G7" i="4"/>
  <c r="E4" i="4"/>
  <c r="H11" i="4"/>
  <c r="F9" i="4"/>
  <c r="G4" i="4"/>
  <c r="N12" i="4"/>
  <c r="O7" i="4"/>
  <c r="I9" i="4"/>
  <c r="L9" i="4"/>
  <c r="M4" i="4"/>
  <c r="M3" i="4"/>
  <c r="H8" i="4"/>
  <c r="I3" i="4"/>
  <c r="C12" i="4"/>
  <c r="H3" i="4"/>
  <c r="E5" i="4"/>
  <c r="M8" i="4"/>
  <c r="N3" i="4"/>
  <c r="H4" i="4"/>
  <c r="K8" i="4"/>
  <c r="D9" i="4"/>
  <c r="G8" i="4"/>
  <c r="F3" i="4"/>
  <c r="D51" i="3"/>
  <c r="D58" i="3"/>
  <c r="D23" i="3"/>
  <c r="D36" i="3"/>
  <c r="D25" i="3"/>
  <c r="D32" i="3"/>
  <c r="D35" i="3"/>
  <c r="D27" i="3"/>
  <c r="D34" i="3"/>
  <c r="D45" i="3"/>
  <c r="D40" i="3"/>
  <c r="D47" i="3"/>
  <c r="D46" i="3"/>
  <c r="D38" i="3"/>
  <c r="D28" i="3"/>
  <c r="D30" i="3"/>
  <c r="D21" i="3"/>
  <c r="D43" i="3"/>
  <c r="D26" i="3"/>
  <c r="D48" i="3"/>
  <c r="D57" i="3"/>
  <c r="D49" i="3"/>
  <c r="D54" i="3"/>
  <c r="D41" i="3"/>
  <c r="D33" i="3"/>
  <c r="D60" i="3"/>
  <c r="D55" i="3"/>
  <c r="D53" i="3"/>
  <c r="D22" i="3"/>
  <c r="D37" i="3"/>
  <c r="D29" i="3"/>
  <c r="D39" i="3"/>
  <c r="D31" i="3"/>
  <c r="D56" i="3"/>
  <c r="D59" i="3"/>
  <c r="D52" i="3"/>
  <c r="D42" i="3"/>
  <c r="D44" i="3"/>
  <c r="D50" i="3"/>
  <c r="D24" i="3"/>
  <c r="D2" i="6" l="1"/>
  <c r="E2" i="6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C12" i="6"/>
  <c r="D12" i="6"/>
  <c r="E12" i="6"/>
  <c r="F12" i="6"/>
  <c r="G12" i="6"/>
  <c r="H12" i="6"/>
  <c r="C13" i="6"/>
  <c r="D13" i="6"/>
  <c r="E13" i="6"/>
  <c r="F13" i="6"/>
  <c r="G13" i="6"/>
  <c r="H13" i="6"/>
  <c r="C14" i="6"/>
  <c r="D14" i="6"/>
  <c r="E14" i="6"/>
  <c r="F14" i="6"/>
  <c r="G14" i="6"/>
  <c r="H14" i="6"/>
  <c r="C15" i="6"/>
  <c r="D15" i="6"/>
  <c r="E15" i="6"/>
  <c r="F15" i="6"/>
  <c r="G15" i="6"/>
  <c r="H15" i="6"/>
  <c r="C16" i="6"/>
  <c r="D16" i="6"/>
  <c r="E16" i="6"/>
  <c r="F16" i="6"/>
  <c r="G16" i="6"/>
  <c r="H16" i="6"/>
  <c r="C17" i="6"/>
  <c r="D17" i="6"/>
  <c r="E17" i="6"/>
  <c r="F17" i="6"/>
  <c r="G17" i="6"/>
  <c r="H17" i="6"/>
  <c r="C18" i="6"/>
  <c r="D18" i="6"/>
  <c r="E18" i="6"/>
  <c r="F18" i="6"/>
  <c r="G18" i="6"/>
  <c r="H18" i="6"/>
  <c r="C19" i="6"/>
  <c r="D19" i="6"/>
  <c r="E19" i="6"/>
  <c r="F19" i="6"/>
  <c r="G19" i="6"/>
  <c r="H19" i="6"/>
  <c r="C20" i="6"/>
  <c r="D20" i="6"/>
  <c r="E20" i="6"/>
  <c r="F20" i="6"/>
  <c r="G20" i="6"/>
  <c r="H20" i="6"/>
  <c r="C21" i="6"/>
  <c r="D21" i="6"/>
  <c r="E21" i="6"/>
  <c r="F21" i="6"/>
  <c r="G21" i="6"/>
  <c r="H21" i="6"/>
  <c r="C22" i="6"/>
  <c r="D22" i="6"/>
  <c r="E22" i="6"/>
  <c r="F22" i="6"/>
  <c r="G22" i="6"/>
  <c r="H22" i="6"/>
  <c r="B6" i="3"/>
  <c r="C2" i="6"/>
  <c r="F7" i="6"/>
  <c r="C5" i="6"/>
  <c r="G3" i="6"/>
  <c r="F11" i="6"/>
  <c r="B7" i="3"/>
  <c r="B5" i="3"/>
  <c r="G11" i="6"/>
  <c r="C11" i="6"/>
  <c r="G4" i="6"/>
  <c r="C9" i="6"/>
  <c r="G2" i="6"/>
  <c r="C3" i="6"/>
  <c r="B4" i="3"/>
  <c r="G10" i="6"/>
  <c r="F5" i="6"/>
  <c r="G6" i="6"/>
  <c r="F2" i="6"/>
  <c r="F6" i="6"/>
  <c r="F4" i="6"/>
  <c r="F8" i="6"/>
  <c r="B3" i="3"/>
  <c r="G8" i="6"/>
  <c r="F3" i="6"/>
  <c r="G7" i="6"/>
  <c r="C10" i="6"/>
  <c r="G5" i="6"/>
  <c r="B8" i="3"/>
  <c r="G9" i="6"/>
  <c r="F10" i="6"/>
  <c r="F9" i="6"/>
  <c r="C6" i="6"/>
  <c r="C4" i="6"/>
  <c r="H11" i="6" l="1"/>
  <c r="H10" i="6"/>
  <c r="H9" i="6"/>
  <c r="H8" i="6"/>
  <c r="H7" i="6"/>
  <c r="H6" i="6"/>
  <c r="H5" i="6"/>
  <c r="H4" i="6"/>
  <c r="H3" i="6"/>
  <c r="H2" i="6"/>
  <c r="C2" i="5"/>
  <c r="D2" i="5"/>
  <c r="F2" i="5"/>
  <c r="C3" i="5"/>
  <c r="D3" i="5"/>
  <c r="F3" i="5"/>
  <c r="C4" i="5"/>
  <c r="D4" i="5"/>
  <c r="F4" i="5"/>
  <c r="C5" i="5"/>
  <c r="D5" i="5"/>
  <c r="F5" i="5"/>
  <c r="C6" i="5"/>
  <c r="D6" i="5"/>
  <c r="F6" i="5"/>
  <c r="C7" i="5"/>
  <c r="D7" i="5"/>
  <c r="F7" i="5"/>
  <c r="C8" i="5"/>
  <c r="D8" i="5"/>
  <c r="F8" i="5"/>
  <c r="C9" i="5"/>
  <c r="D9" i="5"/>
  <c r="F9" i="5"/>
  <c r="C10" i="5"/>
  <c r="D10" i="5"/>
  <c r="F10" i="5"/>
  <c r="C11" i="5"/>
  <c r="D11" i="5"/>
  <c r="F11" i="5"/>
  <c r="C12" i="5"/>
  <c r="D12" i="5"/>
  <c r="F12" i="5"/>
  <c r="C13" i="5"/>
  <c r="D13" i="5"/>
  <c r="F13" i="5"/>
  <c r="C14" i="5"/>
  <c r="D14" i="5"/>
  <c r="F14" i="5"/>
  <c r="C15" i="5"/>
  <c r="D15" i="5"/>
  <c r="F15" i="5"/>
  <c r="C16" i="5"/>
  <c r="D16" i="5"/>
  <c r="F16" i="5"/>
  <c r="C17" i="5"/>
  <c r="D17" i="5"/>
  <c r="F17" i="5"/>
  <c r="C18" i="5"/>
  <c r="D18" i="5"/>
  <c r="F18" i="5"/>
  <c r="C19" i="5"/>
  <c r="D19" i="5"/>
  <c r="F19" i="5"/>
  <c r="C20" i="5"/>
  <c r="D20" i="5"/>
  <c r="F20" i="5"/>
  <c r="C21" i="5"/>
  <c r="D21" i="5"/>
  <c r="F21" i="5"/>
  <c r="C22" i="5"/>
  <c r="D22" i="5"/>
  <c r="F22" i="5"/>
  <c r="C23" i="5"/>
  <c r="D23" i="5"/>
  <c r="F23" i="5"/>
  <c r="C24" i="5"/>
  <c r="D24" i="5"/>
  <c r="F24" i="5"/>
  <c r="F26" i="5"/>
  <c r="A3" i="4"/>
  <c r="A4" i="4" s="1"/>
  <c r="A5" i="4" s="1"/>
  <c r="A6" i="4" s="1"/>
  <c r="A7" i="4" s="1"/>
  <c r="A8" i="4" s="1"/>
  <c r="A9" i="4" s="1"/>
  <c r="A10" i="4" s="1"/>
  <c r="A11" i="4" s="1"/>
  <c r="A12" i="4" s="1"/>
  <c r="D2" i="4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C8" i="6"/>
  <c r="C7" i="6"/>
  <c r="B12" i="3" l="1"/>
  <c r="B13" i="3"/>
  <c r="B14" i="3"/>
  <c r="B15" i="3"/>
</calcChain>
</file>

<file path=xl/sharedStrings.xml><?xml version="1.0" encoding="utf-8"?>
<sst xmlns="http://schemas.openxmlformats.org/spreadsheetml/2006/main" count="199" uniqueCount="122">
  <si>
    <t>CreateGUIDString( 13 )</t>
  </si>
  <si>
    <t>Name</t>
  </si>
  <si>
    <t>Cells</t>
  </si>
  <si>
    <t>Columns</t>
  </si>
  <si>
    <t>Rows</t>
  </si>
  <si>
    <t>Sample Value</t>
  </si>
  <si>
    <t>WorkbookBaseName( )</t>
  </si>
  <si>
    <t>WorkbookFullName( )</t>
  </si>
  <si>
    <t>WorkbookLeafPathName( )</t>
  </si>
  <si>
    <t>WorkbookName( )</t>
  </si>
  <si>
    <t>WorksheetName( )</t>
  </si>
  <si>
    <t>m_MiscFunctions__Demonstrations</t>
  </si>
  <si>
    <t>Demonstration Range</t>
  </si>
  <si>
    <t>The values in the following table are generated entirely by native (built-in) worksheet functions.</t>
  </si>
  <si>
    <t>The values in the following table are generated  by worksheet functions in P6CXLSLib4.XLAM.</t>
  </si>
  <si>
    <t>Test Cases</t>
  </si>
  <si>
    <t>Substrings</t>
  </si>
  <si>
    <t>#</t>
  </si>
  <si>
    <t>String</t>
  </si>
  <si>
    <t>Count</t>
  </si>
  <si>
    <t>This,is,a,basic,test.</t>
  </si>
  <si>
    <t>,This,test,starts,with,an,empty,string.</t>
  </si>
  <si>
    <t>This,test,ends,with,an,empty,field.,</t>
  </si>
  <si>
    <t>This test,starts,with,a,quoted,string.</t>
  </si>
  <si>
    <t>This,test,ends,with,a,"quoted string."</t>
  </si>
  <si>
    <t>This,test,"contains an embedded",quoted,string.</t>
  </si>
  <si>
    <t>This,"test contains",two,"quoted strings."</t>
  </si>
  <si>
    <t>This,test,"contains a quoted string,",followed by more,"text, both of which include commas."</t>
  </si>
  <si>
    <t>,This,test,",includes a little of this, and a little of that,",,to,push,the,routine to its limits.,</t>
  </si>
  <si>
    <t>CN=RapidSSL CA, O="GeoTrust, Inc.", C=US</t>
  </si>
  <si>
    <t>Array</t>
  </si>
  <si>
    <t>vbArray</t>
  </si>
  <si>
    <t>Variants that contain user-defined types</t>
  </si>
  <si>
    <t>vbUserDefinedType</t>
  </si>
  <si>
    <t>LongLong integer (Valid on 64-bit platforms only.)</t>
  </si>
  <si>
    <t>vbLongLong</t>
  </si>
  <si>
    <t>Byte value</t>
  </si>
  <si>
    <t>vbByte</t>
  </si>
  <si>
    <t>Decimal value</t>
  </si>
  <si>
    <t>vbDecimal</t>
  </si>
  <si>
    <t>A data access object</t>
  </si>
  <si>
    <t>vbDataObject</t>
  </si>
  <si>
    <t>Variant (used only with arrays of variants)</t>
  </si>
  <si>
    <t>vbVariant</t>
  </si>
  <si>
    <t>Boolean value</t>
  </si>
  <si>
    <t>vbBoolean</t>
  </si>
  <si>
    <t>Error value</t>
  </si>
  <si>
    <t>vbError</t>
  </si>
  <si>
    <t>Object</t>
  </si>
  <si>
    <t>vbObject</t>
  </si>
  <si>
    <t>vbString</t>
  </si>
  <si>
    <t>Date value</t>
  </si>
  <si>
    <t>vbDate</t>
  </si>
  <si>
    <t>Currency value</t>
  </si>
  <si>
    <t>vbCurrency</t>
  </si>
  <si>
    <t>Double-precision floating-point number</t>
  </si>
  <si>
    <t>vbDouble</t>
  </si>
  <si>
    <t>Single-precision floating-point number</t>
  </si>
  <si>
    <t>vbSingle</t>
  </si>
  <si>
    <t>Long integer</t>
  </si>
  <si>
    <t>vbLong</t>
  </si>
  <si>
    <t>Integer</t>
  </si>
  <si>
    <t>vbInteger</t>
  </si>
  <si>
    <t>Null (no valid data)</t>
  </si>
  <si>
    <t>vbNull</t>
  </si>
  <si>
    <t>Empty (uninitialized)</t>
  </si>
  <si>
    <t>vbEmpty</t>
  </si>
  <si>
    <t>VBA Constant Name</t>
  </si>
  <si>
    <t>Synopsis</t>
  </si>
  <si>
    <t>Binary</t>
  </si>
  <si>
    <t>Hex</t>
  </si>
  <si>
    <t>Value</t>
  </si>
  <si>
    <t>Symbolic Constant</t>
  </si>
  <si>
    <t>Address</t>
  </si>
  <si>
    <t>Sheet</t>
  </si>
  <si>
    <t>Origin Cell Contents</t>
  </si>
  <si>
    <t>Absolute Address</t>
  </si>
  <si>
    <t>Demonstration_Range_Name</t>
  </si>
  <si>
    <t>VariantSubtypeConstants_ByDecValue_Details</t>
  </si>
  <si>
    <t>='Variant Subtype Constants'!$B$2:$F$24</t>
  </si>
  <si>
    <t>VariantSubtypeConstants_ByDecValue_Labels</t>
  </si>
  <si>
    <t>='Variant Subtype Constants'!$B$1:$F$1</t>
  </si>
  <si>
    <t>VariantSubtypeConstants_ByHexValue_Details</t>
  </si>
  <si>
    <t>='Variant Subtype Constants'!$C$2:$F$24</t>
  </si>
  <si>
    <t>VariantSubtypeConstants_ByHexValue_Labels</t>
  </si>
  <si>
    <t>='Variant Subtype Constants'!$C$1:$F$1</t>
  </si>
  <si>
    <t>VariantSubtypeConstants_BySymbolName_Details</t>
  </si>
  <si>
    <t>='Variant Subtype Constants'!$A$2:$E$24</t>
  </si>
  <si>
    <t>VariantSubtypeConstants_BySymbolName_Labels</t>
  </si>
  <si>
    <t>='Variant Subtype Constants'!$A$1:$E$1</t>
  </si>
  <si>
    <t>Index of Named Ranges</t>
  </si>
  <si>
    <t>AnyCSV Test Cases</t>
  </si>
  <si>
    <t>Variant Subtype Constants</t>
  </si>
  <si>
    <t>__Workbook_Index</t>
  </si>
  <si>
    <t>=Index!$A$1:$A$4</t>
  </si>
  <si>
    <t>='P6CXlsLib4 Demonstrations'!$B$11</t>
  </si>
  <si>
    <t>='P6CXlsLib4 Demonstrations'!$A$2:$B$8</t>
  </si>
  <si>
    <t>P6CXlsLib4 Demonstrations</t>
  </si>
  <si>
    <t>This is a test</t>
  </si>
  <si>
    <t>Tiis is part of the test.</t>
  </si>
  <si>
    <t>This is part of the test, too.</t>
  </si>
  <si>
    <t>This is still part of the test.</t>
  </si>
  <si>
    <t>The hotkey Ctrl-D merged cells b8 with b9 and C8 with C9.</t>
  </si>
  <si>
    <t>This is part of the extended test.</t>
  </si>
  <si>
    <t>This is also part of the extended test.</t>
  </si>
  <si>
    <t>This is part of the extended test. The next cell is intentionally left blank.</t>
  </si>
  <si>
    <t/>
  </si>
  <si>
    <t>billingAddress</t>
  </si>
  <si>
    <t>address1</t>
  </si>
  <si>
    <t>address2</t>
  </si>
  <si>
    <t>unitNumber</t>
  </si>
  <si>
    <t>city</t>
  </si>
  <si>
    <t>market</t>
  </si>
  <si>
    <t>zipcode</t>
  </si>
  <si>
    <t>county</t>
  </si>
  <si>
    <t>country</t>
  </si>
  <si>
    <t>countryCode</t>
  </si>
  <si>
    <t>Col/Row</t>
  </si>
  <si>
    <t>customerAddress</t>
  </si>
  <si>
    <t>LastNonBlankCellAbove Demonstration</t>
  </si>
  <si>
    <t>LastNonBlankCellAbove_Demonstration</t>
  </si>
  <si>
    <t>='P6CXlsLib4 Demonstrations'!$A$18:$D$60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</si>
</sst>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onsolas"/>
      <family val="2"/>
    </font>
    <font>
      <b/>
      <sz val="14"/>
      <color theme="0"/>
      <name val="Tahoma"/>
      <family val="2"/>
    </font>
    <font>
      <b/>
      <sz val="12"/>
      <color indexed="43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onsolas"/>
      <family val="3"/>
    </font>
    <font>
      <b/>
      <sz val="11"/>
      <name val="Tahoma"/>
      <family val="2"/>
    </font>
    <font>
      <u/>
      <sz val="11"/>
      <color theme="10"/>
      <name val="Consolas"/>
      <family val="2"/>
    </font>
    <font>
      <b/>
      <u/>
      <sz val="14"/>
      <color theme="10"/>
      <name val="Tahoma"/>
      <family val="2"/>
    </font>
    <font>
      <sz val="11"/>
      <color theme="1"/>
      <name val="Consolas"/>
      <family val="2"/>
    </font>
    <font>
      <b/>
      <sz val="18"/>
      <color theme="2" tint="-0.499984740745262"/>
      <name val="Tahoma"/>
      <family val="2"/>
    </font>
    <font>
      <b/>
      <sz val="14"/>
      <color theme="2" tint="-0.749961851863155"/>
      <name val="Tahoma"/>
      <family val="2"/>
    </font>
    <font>
      <sz val="11"/>
      <name val="Courier New"/>
      <family val="3"/>
    </font>
    <font>
      <sz val="11"/>
      <name val="Consolas"/>
      <family val="3"/>
    </font>
    <font>
      <sz val="11"/>
      <name val="Tahoma"/>
      <family val="2"/>
    </font>
    <font>
      <b/>
      <sz val="12"/>
      <color theme="0"/>
      <name val="Tahoma"/>
      <family val="2"/>
    </font>
    <font>
      <sz val="11"/>
      <color theme="1"/>
      <name val="Tahoma"/>
      <family val="2"/>
    </font>
    <font>
      <b/>
      <sz val="11"/>
      <color rgb="FF0000CC"/>
      <name val="Tahoma"/>
      <family val="2"/>
    </font>
    <font>
      <b/>
      <sz val="14"/>
      <color rgb="FFFFC000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1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0000CC"/>
        <bgColor indexed="64"/>
      </patternFill>
    </fill>
  </fills>
  <borders count="26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0"/>
      </top>
      <bottom style="thin">
        <color theme="1" tint="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CC"/>
      </left>
      <right style="thin">
        <color rgb="FF0000CC"/>
      </right>
      <top style="thin">
        <color rgb="FF0000CC"/>
      </top>
      <bottom style="thin">
        <color rgb="FF0000CC"/>
      </bottom>
      <diagonal/>
    </border>
    <border>
      <left style="thin">
        <color rgb="FFFFC000"/>
      </left>
      <right/>
      <top style="thin">
        <color rgb="FFFFC000"/>
      </top>
      <bottom style="thin">
        <color rgb="FF0000CC"/>
      </bottom>
      <diagonal/>
    </border>
    <border>
      <left/>
      <right/>
      <top style="thin">
        <color rgb="FFFFC000"/>
      </top>
      <bottom style="thin">
        <color rgb="FF0000CC"/>
      </bottom>
      <diagonal/>
    </border>
    <border>
      <left/>
      <right style="thin">
        <color rgb="FFFFC000"/>
      </right>
      <top style="thin">
        <color rgb="FFFFC000"/>
      </top>
      <bottom style="thin">
        <color rgb="FF0000CC"/>
      </bottom>
      <diagonal/>
    </border>
  </borders>
  <cellStyleXfs count="10">
    <xf numFmtId="0" fontId="0" fillId="0" borderId="0"/>
    <xf numFmtId="0" fontId="2" fillId="4" borderId="5"/>
    <xf numFmtId="0" fontId="3" fillId="0" borderId="0" applyNumberFormat="0" applyFill="0" applyBorder="0" applyAlignment="0" applyProtection="0"/>
    <xf numFmtId="0" fontId="4" fillId="0" borderId="0"/>
    <xf numFmtId="0" fontId="5" fillId="0" borderId="0"/>
    <xf numFmtId="0" fontId="6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0" fontId="9" fillId="0" borderId="0"/>
  </cellStyleXfs>
  <cellXfs count="50">
    <xf numFmtId="0" fontId="0" fillId="0" borderId="0" xfId="0"/>
    <xf numFmtId="0" fontId="0" fillId="0" borderId="1" xfId="0" applyFont="1" applyBorder="1"/>
    <xf numFmtId="0" fontId="0" fillId="0" borderId="2" xfId="0" applyFont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0" borderId="6" xfId="0" applyFont="1" applyBorder="1"/>
    <xf numFmtId="0" fontId="0" fillId="0" borderId="7" xfId="0" applyFont="1" applyBorder="1" applyAlignment="1">
      <alignment horizontal="left"/>
    </xf>
    <xf numFmtId="0" fontId="1" fillId="5" borderId="8" xfId="0" applyFont="1" applyFill="1" applyBorder="1"/>
    <xf numFmtId="0" fontId="8" fillId="5" borderId="9" xfId="6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8" xfId="0" applyFont="1" applyBorder="1"/>
    <xf numFmtId="0" fontId="0" fillId="0" borderId="9" xfId="0" applyFont="1" applyBorder="1" applyAlignment="1">
      <alignment horizontal="left"/>
    </xf>
    <xf numFmtId="0" fontId="0" fillId="6" borderId="9" xfId="0" applyFont="1" applyFill="1" applyBorder="1" applyAlignment="1">
      <alignment horizontal="left"/>
    </xf>
    <xf numFmtId="0" fontId="11" fillId="7" borderId="11" xfId="0" applyFont="1" applyFill="1" applyBorder="1"/>
    <xf numFmtId="0" fontId="0" fillId="0" borderId="11" xfId="0" applyBorder="1"/>
    <xf numFmtId="0" fontId="12" fillId="0" borderId="0" xfId="8"/>
    <xf numFmtId="0" fontId="13" fillId="0" borderId="12" xfId="8" applyFont="1" applyBorder="1"/>
    <xf numFmtId="0" fontId="14" fillId="0" borderId="12" xfId="8" applyFont="1" applyBorder="1"/>
    <xf numFmtId="0" fontId="13" fillId="8" borderId="12" xfId="8" applyFont="1" applyFill="1" applyBorder="1"/>
    <xf numFmtId="0" fontId="14" fillId="8" borderId="12" xfId="8" applyFont="1" applyFill="1" applyBorder="1"/>
    <xf numFmtId="0" fontId="15" fillId="9" borderId="13" xfId="8" applyFont="1" applyFill="1" applyBorder="1"/>
    <xf numFmtId="3" fontId="0" fillId="0" borderId="14" xfId="0" applyNumberFormat="1" applyBorder="1" applyAlignment="1">
      <alignment vertical="top"/>
    </xf>
    <xf numFmtId="0" fontId="0" fillId="0" borderId="14" xfId="0" applyBorder="1" applyAlignment="1">
      <alignment vertical="top"/>
    </xf>
    <xf numFmtId="3" fontId="0" fillId="0" borderId="15" xfId="0" applyNumberFormat="1" applyBorder="1" applyAlignment="1">
      <alignment vertical="top"/>
    </xf>
    <xf numFmtId="0" fontId="0" fillId="0" borderId="15" xfId="0" applyBorder="1" applyAlignment="1">
      <alignment vertical="top"/>
    </xf>
    <xf numFmtId="0" fontId="1" fillId="10" borderId="16" xfId="0" applyFont="1" applyFill="1" applyBorder="1"/>
    <xf numFmtId="0" fontId="7" fillId="0" borderId="0" xfId="6"/>
    <xf numFmtId="0" fontId="16" fillId="0" borderId="5" xfId="0" applyFont="1" applyBorder="1" applyAlignment="1"/>
    <xf numFmtId="0" fontId="0" fillId="0" borderId="5" xfId="0" applyBorder="1" applyAlignment="1"/>
    <xf numFmtId="0" fontId="0" fillId="0" borderId="22" xfId="0" applyBorder="1"/>
    <xf numFmtId="0" fontId="17" fillId="0" borderId="22" xfId="0" applyFont="1" applyBorder="1"/>
    <xf numFmtId="0" fontId="16" fillId="0" borderId="5" xfId="0" applyFont="1" applyBorder="1" applyAlignment="1"/>
    <xf numFmtId="0" fontId="17" fillId="0" borderId="17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6" fillId="0" borderId="20" xfId="0" applyFont="1" applyBorder="1" applyAlignment="1">
      <alignment vertical="top"/>
    </xf>
    <xf numFmtId="0" fontId="16" fillId="0" borderId="21" xfId="0" applyFont="1" applyBorder="1" applyAlignment="1">
      <alignment vertical="top"/>
    </xf>
    <xf numFmtId="0" fontId="1" fillId="5" borderId="6" xfId="0" applyFont="1" applyFill="1" applyBorder="1"/>
    <xf numFmtId="0" fontId="1" fillId="5" borderId="10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8" fillId="11" borderId="23" xfId="0" applyFont="1" applyFill="1" applyBorder="1" applyAlignment="1">
      <alignment horizontal="center"/>
    </xf>
    <xf numFmtId="0" fontId="18" fillId="11" borderId="24" xfId="0" applyFont="1" applyFill="1" applyBorder="1" applyAlignment="1">
      <alignment horizontal="center"/>
    </xf>
    <xf numFmtId="0" fontId="18" fillId="11" borderId="25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</cellXfs>
  <cellStyles count="10">
    <cellStyle name="Column_Label" xfId="1" xr:uid="{00000000-0005-0000-0000-000000000000}"/>
    <cellStyle name="Hyperlink" xfId="6" builtinId="8"/>
    <cellStyle name="Hyperlink 2" xfId="2" xr:uid="{00000000-0005-0000-0000-000002000000}"/>
    <cellStyle name="Hyperlink 3" xfId="7" xr:uid="{00000000-0005-0000-0000-000003000000}"/>
    <cellStyle name="Normal" xfId="0" builtinId="0"/>
    <cellStyle name="Normal 2" xfId="3" xr:uid="{00000000-0005-0000-0000-000005000000}"/>
    <cellStyle name="Normal 3" xfId="4" xr:uid="{00000000-0005-0000-0000-000006000000}"/>
    <cellStyle name="Normal 4" xfId="8" xr:uid="{00000000-0005-0000-0000-000007000000}"/>
    <cellStyle name="Normal 5" xfId="9" xr:uid="{00000000-0005-0000-0000-000008000000}"/>
    <cellStyle name="Row_Label" xfId="5" xr:uid="{00000000-0005-0000-0000-000009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in\EXCEL_AddIns\P6CXLSLib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dex of Named Ranges"/>
      <sheetName val="P6CXlsLib4 Demonstrations"/>
      <sheetName val="AnyCSV Test Cases"/>
      <sheetName val="Variant Subtype Constants"/>
    </sheetNames>
    <definedNames>
      <definedName name="CreateGUIDString"/>
      <definedName name="LastNonBlankCellAbove"/>
      <definedName name="ParseAnyCSVExtractSubstring"/>
      <definedName name="ParseAnyCSVGetSubstringCount"/>
      <definedName name="WorkbookBaseName"/>
      <definedName name="WorkbookFullName"/>
      <definedName name="WorkbookLeafPathName"/>
      <definedName name="WorkbookPathName"/>
      <definedName name="WorksheetNam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1"/>
  </sheetPr>
  <dimension ref="A1:F10"/>
  <sheetViews>
    <sheetView workbookViewId="0">
      <selection activeCell="A10" sqref="A10"/>
    </sheetView>
  </sheetViews>
  <sheetFormatPr defaultRowHeight="15" x14ac:dyDescent="0.25"/>
  <cols>
    <col min="1" max="1" width="26.375" bestFit="1" customWidth="1"/>
    <col min="2" max="2" width="11.375" bestFit="1" customWidth="1"/>
    <col min="3" max="3" width="23" bestFit="1" customWidth="1"/>
    <col min="4" max="4" width="24" bestFit="1" customWidth="1"/>
    <col min="5" max="5" width="24" customWidth="1"/>
    <col min="6" max="6" width="32.375" bestFit="1" customWidth="1"/>
  </cols>
  <sheetData>
    <row r="1" spans="1:6" x14ac:dyDescent="0.25">
      <c r="A1" s="31" t="s">
        <v>91</v>
      </c>
    </row>
    <row r="2" spans="1:6" x14ac:dyDescent="0.25">
      <c r="A2" s="31" t="s">
        <v>90</v>
      </c>
    </row>
    <row r="3" spans="1:6" x14ac:dyDescent="0.25">
      <c r="A3" s="31" t="s">
        <v>97</v>
      </c>
    </row>
    <row r="4" spans="1:6" x14ac:dyDescent="0.25">
      <c r="A4" s="31" t="s">
        <v>92</v>
      </c>
    </row>
    <row r="7" spans="1:6" x14ac:dyDescent="0.25">
      <c r="B7" s="37" t="s">
        <v>102</v>
      </c>
      <c r="C7" s="38"/>
      <c r="D7" s="38"/>
      <c r="E7" s="38"/>
      <c r="F7" s="39"/>
    </row>
    <row r="8" spans="1:6" x14ac:dyDescent="0.25">
      <c r="B8" s="36" t="s">
        <v>98</v>
      </c>
      <c r="C8" s="36" t="s">
        <v>101</v>
      </c>
      <c r="D8" s="32" t="s">
        <v>99</v>
      </c>
      <c r="E8" s="40" t="s">
        <v>105</v>
      </c>
      <c r="F8" s="32" t="s">
        <v>103</v>
      </c>
    </row>
    <row r="9" spans="1:6" x14ac:dyDescent="0.25">
      <c r="B9" s="36"/>
      <c r="C9" s="36"/>
      <c r="D9" s="32" t="s">
        <v>100</v>
      </c>
      <c r="E9" s="41"/>
      <c r="F9" s="32" t="s">
        <v>104</v>
      </c>
    </row>
    <row r="10" spans="1:6" x14ac:dyDescent="0.25">
      <c r="B10" s="33"/>
      <c r="C10" s="33"/>
      <c r="D10" s="33"/>
      <c r="E10" s="33"/>
      <c r="F10" s="33"/>
    </row>
  </sheetData>
  <sortState xmlns:xlrd2="http://schemas.microsoft.com/office/spreadsheetml/2017/richdata2" caseSensitive="1" ref="A1:A4">
    <sortCondition ref="A1"/>
  </sortState>
  <mergeCells count="4">
    <mergeCell ref="B8:B9"/>
    <mergeCell ref="C8:C9"/>
    <mergeCell ref="B7:F7"/>
    <mergeCell ref="E8:E9"/>
  </mergeCells>
  <hyperlinks>
    <hyperlink ref="A2" location="'Index of Named Ranges'!$A$1" display="Index of Named Ranges" xr:uid="{00000000-0004-0000-0000-000000000000}"/>
    <hyperlink ref="A3" location="'P6CXlsLib4 Demonstrations'!$A$1" display="P6CXlsLib4 Demonstrations" xr:uid="{00000000-0004-0000-0000-000001000000}"/>
    <hyperlink ref="A1" location="'AnyCSV Test Cases'!$A$1" display="AnyCSV Test Cases" xr:uid="{00000000-0004-0000-0000-000002000000}"/>
    <hyperlink ref="A4" location="'Variant Subtype Constants'!$A$1" display="Variant Subtype Constants" xr:uid="{00000000-0004-0000-0000-000003000000}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749992370372631"/>
  </sheetPr>
  <dimension ref="A1:H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" width="46" bestFit="1" customWidth="1"/>
    <col min="2" max="2" width="40.75" bestFit="1" customWidth="1"/>
    <col min="3" max="3" width="36.625" bestFit="1" customWidth="1"/>
    <col min="4" max="4" width="26.375" bestFit="1" customWidth="1"/>
    <col min="5" max="5" width="10.875" bestFit="1" customWidth="1"/>
    <col min="6" max="6" width="7.75" bestFit="1" customWidth="1"/>
    <col min="7" max="7" width="11.5" bestFit="1" customWidth="1"/>
    <col min="8" max="8" width="6.875" bestFit="1" customWidth="1"/>
  </cols>
  <sheetData>
    <row r="1" spans="1:8" ht="18" x14ac:dyDescent="0.25">
      <c r="A1" s="30" t="s">
        <v>1</v>
      </c>
      <c r="B1" s="30" t="s">
        <v>76</v>
      </c>
      <c r="C1" s="30" t="s">
        <v>75</v>
      </c>
      <c r="D1" s="30" t="s">
        <v>74</v>
      </c>
      <c r="E1" s="30" t="s">
        <v>73</v>
      </c>
      <c r="F1" s="30" t="s">
        <v>4</v>
      </c>
      <c r="G1" s="30" t="s">
        <v>3</v>
      </c>
      <c r="H1" s="30" t="s">
        <v>2</v>
      </c>
    </row>
    <row r="2" spans="1:8" x14ac:dyDescent="0.25">
      <c r="A2" s="29" t="s">
        <v>93</v>
      </c>
      <c r="B2" s="29" t="s">
        <v>94</v>
      </c>
      <c r="C2" s="29" t="str">
        <f t="shared" ref="C2:C22" ca="1" si="0">IF(LEN($A2)&gt;0,CELL("contents",OFFSET(INDIRECT($A2),0,0)),"")</f>
        <v>AnyCSV Test Cases</v>
      </c>
      <c r="D2" s="29" t="str">
        <f t="shared" ref="D2:D22" si="1">IF(LEN($B2)&gt;0,SUBSTITUTE(MID($B2,2,FIND("!",$B2)-2),"'",""),"")</f>
        <v>Index</v>
      </c>
      <c r="E2" s="29" t="str">
        <f t="shared" ref="E2:E22" si="2">IF(LEN($B2)&gt;0,RIGHT($B2,LEN($B2)-FIND("!",$B2)),"")</f>
        <v>$A$1:$A$4</v>
      </c>
      <c r="F2" s="28">
        <f t="shared" ref="F2:F22" ca="1" si="3">IF(LEN($A2)&gt;0,ROWS(INDIRECT($A2)),"")</f>
        <v>4</v>
      </c>
      <c r="G2" s="28">
        <f t="shared" ref="G2:G22" ca="1" si="4">IF(LEN($A2)&gt;0,COLUMNS(INDIRECT($A2)),"")</f>
        <v>1</v>
      </c>
      <c r="H2" s="28">
        <f t="shared" ref="H2:H22" ca="1" si="5">IF(LEN($A2)&gt;0,F2*G2,"")</f>
        <v>4</v>
      </c>
    </row>
    <row r="3" spans="1:8" x14ac:dyDescent="0.25">
      <c r="A3" s="27" t="s">
        <v>77</v>
      </c>
      <c r="B3" s="27" t="s">
        <v>95</v>
      </c>
      <c r="C3" s="27" t="str">
        <f t="shared" ca="1" si="0"/>
        <v>m_MiscFunctions__Demonstrations</v>
      </c>
      <c r="D3" s="27" t="str">
        <f t="shared" si="1"/>
        <v>P6CXlsLib4 Demonstrations</v>
      </c>
      <c r="E3" s="27" t="str">
        <f t="shared" si="2"/>
        <v>$B$11</v>
      </c>
      <c r="F3" s="26">
        <f t="shared" ca="1" si="3"/>
        <v>1</v>
      </c>
      <c r="G3" s="26">
        <f t="shared" ca="1" si="4"/>
        <v>1</v>
      </c>
      <c r="H3" s="26">
        <f t="shared" ca="1" si="5"/>
        <v>1</v>
      </c>
    </row>
    <row r="4" spans="1:8" x14ac:dyDescent="0.25">
      <c r="A4" s="27" t="s">
        <v>120</v>
      </c>
      <c r="B4" s="27" t="s">
        <v>121</v>
      </c>
      <c r="C4" s="27" t="str">
        <f t="shared" ca="1" si="0"/>
        <v>LastNonBlankCellAbove Demonstration</v>
      </c>
      <c r="D4" s="27" t="str">
        <f t="shared" si="1"/>
        <v>P6CXlsLib4 Demonstrations</v>
      </c>
      <c r="E4" s="27" t="str">
        <f t="shared" si="2"/>
        <v>$A$18:$D$60</v>
      </c>
      <c r="F4" s="26">
        <f t="shared" ca="1" si="3"/>
        <v>43</v>
      </c>
      <c r="G4" s="26">
        <f t="shared" ca="1" si="4"/>
        <v>4</v>
      </c>
      <c r="H4" s="26">
        <f t="shared" ca="1" si="5"/>
        <v>172</v>
      </c>
    </row>
    <row r="5" spans="1:8" x14ac:dyDescent="0.25">
      <c r="A5" s="27" t="s">
        <v>11</v>
      </c>
      <c r="B5" s="27" t="s">
        <v>96</v>
      </c>
      <c r="C5" s="27" t="str">
        <f t="shared" ca="1" si="0"/>
        <v>Name</v>
      </c>
      <c r="D5" s="27" t="str">
        <f t="shared" si="1"/>
        <v>P6CXlsLib4 Demonstrations</v>
      </c>
      <c r="E5" s="27" t="str">
        <f t="shared" si="2"/>
        <v>$A$2:$B$8</v>
      </c>
      <c r="F5" s="26">
        <f t="shared" ca="1" si="3"/>
        <v>7</v>
      </c>
      <c r="G5" s="26">
        <f t="shared" ca="1" si="4"/>
        <v>2</v>
      </c>
      <c r="H5" s="26">
        <f t="shared" ca="1" si="5"/>
        <v>14</v>
      </c>
    </row>
    <row r="6" spans="1:8" x14ac:dyDescent="0.25">
      <c r="A6" s="27" t="s">
        <v>78</v>
      </c>
      <c r="B6" s="27" t="s">
        <v>79</v>
      </c>
      <c r="C6" s="27">
        <f t="shared" ca="1" si="0"/>
        <v>0</v>
      </c>
      <c r="D6" s="27" t="str">
        <f t="shared" si="1"/>
        <v>Variant Subtype Constants</v>
      </c>
      <c r="E6" s="27" t="str">
        <f t="shared" si="2"/>
        <v>$B$2:$F$24</v>
      </c>
      <c r="F6" s="26">
        <f t="shared" ca="1" si="3"/>
        <v>23</v>
      </c>
      <c r="G6" s="26">
        <f t="shared" ca="1" si="4"/>
        <v>5</v>
      </c>
      <c r="H6" s="26">
        <f t="shared" ca="1" si="5"/>
        <v>115</v>
      </c>
    </row>
    <row r="7" spans="1:8" x14ac:dyDescent="0.25">
      <c r="A7" s="27" t="s">
        <v>80</v>
      </c>
      <c r="B7" s="27" t="s">
        <v>81</v>
      </c>
      <c r="C7" s="27" t="str">
        <f t="shared" ca="1" si="0"/>
        <v>Value</v>
      </c>
      <c r="D7" s="27" t="str">
        <f t="shared" si="1"/>
        <v>Variant Subtype Constants</v>
      </c>
      <c r="E7" s="27" t="str">
        <f t="shared" si="2"/>
        <v>$B$1:$F$1</v>
      </c>
      <c r="F7" s="26">
        <f t="shared" ca="1" si="3"/>
        <v>1</v>
      </c>
      <c r="G7" s="26">
        <f t="shared" ca="1" si="4"/>
        <v>5</v>
      </c>
      <c r="H7" s="26">
        <f t="shared" ca="1" si="5"/>
        <v>5</v>
      </c>
    </row>
    <row r="8" spans="1:8" x14ac:dyDescent="0.25">
      <c r="A8" s="27" t="s">
        <v>82</v>
      </c>
      <c r="B8" s="27" t="s">
        <v>83</v>
      </c>
      <c r="C8" s="27" t="str">
        <f t="shared" ca="1" si="0"/>
        <v>0x0000</v>
      </c>
      <c r="D8" s="27" t="str">
        <f t="shared" si="1"/>
        <v>Variant Subtype Constants</v>
      </c>
      <c r="E8" s="27" t="str">
        <f t="shared" si="2"/>
        <v>$C$2:$F$24</v>
      </c>
      <c r="F8" s="26">
        <f t="shared" ca="1" si="3"/>
        <v>23</v>
      </c>
      <c r="G8" s="26">
        <f t="shared" ca="1" si="4"/>
        <v>4</v>
      </c>
      <c r="H8" s="26">
        <f t="shared" ca="1" si="5"/>
        <v>92</v>
      </c>
    </row>
    <row r="9" spans="1:8" x14ac:dyDescent="0.25">
      <c r="A9" s="29" t="s">
        <v>84</v>
      </c>
      <c r="B9" s="29" t="s">
        <v>85</v>
      </c>
      <c r="C9" s="29" t="str">
        <f t="shared" ca="1" si="0"/>
        <v>Hex</v>
      </c>
      <c r="D9" s="29" t="str">
        <f t="shared" si="1"/>
        <v>Variant Subtype Constants</v>
      </c>
      <c r="E9" s="29" t="str">
        <f t="shared" si="2"/>
        <v>$C$1:$F$1</v>
      </c>
      <c r="F9" s="28">
        <f t="shared" ca="1" si="3"/>
        <v>1</v>
      </c>
      <c r="G9" s="28">
        <f t="shared" ca="1" si="4"/>
        <v>4</v>
      </c>
      <c r="H9" s="28">
        <f t="shared" ca="1" si="5"/>
        <v>4</v>
      </c>
    </row>
    <row r="10" spans="1:8" x14ac:dyDescent="0.25">
      <c r="A10" s="27" t="s">
        <v>86</v>
      </c>
      <c r="B10" s="27" t="s">
        <v>87</v>
      </c>
      <c r="C10" s="27" t="str">
        <f t="shared" ca="1" si="0"/>
        <v>vbEmpty</v>
      </c>
      <c r="D10" s="27" t="str">
        <f t="shared" si="1"/>
        <v>Variant Subtype Constants</v>
      </c>
      <c r="E10" s="27" t="str">
        <f t="shared" si="2"/>
        <v>$A$2:$E$24</v>
      </c>
      <c r="F10" s="26">
        <f t="shared" ca="1" si="3"/>
        <v>23</v>
      </c>
      <c r="G10" s="26">
        <f t="shared" ca="1" si="4"/>
        <v>5</v>
      </c>
      <c r="H10" s="26">
        <f t="shared" ca="1" si="5"/>
        <v>115</v>
      </c>
    </row>
    <row r="11" spans="1:8" x14ac:dyDescent="0.25">
      <c r="A11" s="27" t="s">
        <v>88</v>
      </c>
      <c r="B11" s="27" t="s">
        <v>89</v>
      </c>
      <c r="C11" s="27" t="str">
        <f t="shared" ca="1" si="0"/>
        <v>Symbolic Constant</v>
      </c>
      <c r="D11" s="27" t="str">
        <f t="shared" si="1"/>
        <v>Variant Subtype Constants</v>
      </c>
      <c r="E11" s="27" t="str">
        <f t="shared" si="2"/>
        <v>$A$1:$E$1</v>
      </c>
      <c r="F11" s="26">
        <f t="shared" ca="1" si="3"/>
        <v>1</v>
      </c>
      <c r="G11" s="26">
        <f t="shared" ca="1" si="4"/>
        <v>5</v>
      </c>
      <c r="H11" s="26">
        <f t="shared" ca="1" si="5"/>
        <v>5</v>
      </c>
    </row>
    <row r="12" spans="1:8" x14ac:dyDescent="0.25">
      <c r="A12" s="27"/>
      <c r="B12" s="27"/>
      <c r="C12" s="27" t="str">
        <f t="shared" ca="1" si="0"/>
        <v/>
      </c>
      <c r="D12" s="27" t="str">
        <f t="shared" si="1"/>
        <v/>
      </c>
      <c r="E12" s="27" t="str">
        <f t="shared" si="2"/>
        <v/>
      </c>
      <c r="F12" s="26" t="str">
        <f t="shared" ca="1" si="3"/>
        <v/>
      </c>
      <c r="G12" s="26" t="str">
        <f t="shared" ca="1" si="4"/>
        <v/>
      </c>
      <c r="H12" s="26" t="str">
        <f t="shared" si="5"/>
        <v/>
      </c>
    </row>
    <row r="13" spans="1:8" x14ac:dyDescent="0.25">
      <c r="A13" s="27"/>
      <c r="B13" s="27"/>
      <c r="C13" s="27" t="str">
        <f t="shared" ca="1" si="0"/>
        <v/>
      </c>
      <c r="D13" s="27" t="str">
        <f t="shared" si="1"/>
        <v/>
      </c>
      <c r="E13" s="27" t="str">
        <f t="shared" si="2"/>
        <v/>
      </c>
      <c r="F13" s="26" t="str">
        <f t="shared" ca="1" si="3"/>
        <v/>
      </c>
      <c r="G13" s="26" t="str">
        <f t="shared" ca="1" si="4"/>
        <v/>
      </c>
      <c r="H13" s="26" t="str">
        <f t="shared" si="5"/>
        <v/>
      </c>
    </row>
    <row r="14" spans="1:8" x14ac:dyDescent="0.25">
      <c r="A14" s="27"/>
      <c r="B14" s="27"/>
      <c r="C14" s="27" t="str">
        <f t="shared" ca="1" si="0"/>
        <v/>
      </c>
      <c r="D14" s="27" t="str">
        <f t="shared" si="1"/>
        <v/>
      </c>
      <c r="E14" s="27" t="str">
        <f t="shared" si="2"/>
        <v/>
      </c>
      <c r="F14" s="26" t="str">
        <f t="shared" ca="1" si="3"/>
        <v/>
      </c>
      <c r="G14" s="26" t="str">
        <f t="shared" ca="1" si="4"/>
        <v/>
      </c>
      <c r="H14" s="26" t="str">
        <f t="shared" si="5"/>
        <v/>
      </c>
    </row>
    <row r="15" spans="1:8" x14ac:dyDescent="0.25">
      <c r="A15" s="27"/>
      <c r="B15" s="27"/>
      <c r="C15" s="27" t="str">
        <f t="shared" ca="1" si="0"/>
        <v/>
      </c>
      <c r="D15" s="27" t="str">
        <f t="shared" si="1"/>
        <v/>
      </c>
      <c r="E15" s="27" t="str">
        <f t="shared" si="2"/>
        <v/>
      </c>
      <c r="F15" s="26" t="str">
        <f t="shared" ca="1" si="3"/>
        <v/>
      </c>
      <c r="G15" s="26" t="str">
        <f t="shared" ca="1" si="4"/>
        <v/>
      </c>
      <c r="H15" s="26" t="str">
        <f t="shared" si="5"/>
        <v/>
      </c>
    </row>
    <row r="16" spans="1:8" x14ac:dyDescent="0.25">
      <c r="A16" s="29"/>
      <c r="B16" s="29"/>
      <c r="C16" s="29" t="str">
        <f t="shared" ca="1" si="0"/>
        <v/>
      </c>
      <c r="D16" s="29" t="str">
        <f t="shared" si="1"/>
        <v/>
      </c>
      <c r="E16" s="29" t="str">
        <f t="shared" si="2"/>
        <v/>
      </c>
      <c r="F16" s="28" t="str">
        <f t="shared" ca="1" si="3"/>
        <v/>
      </c>
      <c r="G16" s="28" t="str">
        <f t="shared" ca="1" si="4"/>
        <v/>
      </c>
      <c r="H16" s="28" t="str">
        <f t="shared" si="5"/>
        <v/>
      </c>
    </row>
    <row r="17" spans="1:8" x14ac:dyDescent="0.25">
      <c r="A17" s="27"/>
      <c r="B17" s="27"/>
      <c r="C17" s="27" t="str">
        <f t="shared" ca="1" si="0"/>
        <v/>
      </c>
      <c r="D17" s="27" t="str">
        <f t="shared" si="1"/>
        <v/>
      </c>
      <c r="E17" s="27" t="str">
        <f t="shared" si="2"/>
        <v/>
      </c>
      <c r="F17" s="26" t="str">
        <f t="shared" ca="1" si="3"/>
        <v/>
      </c>
      <c r="G17" s="26" t="str">
        <f t="shared" ca="1" si="4"/>
        <v/>
      </c>
      <c r="H17" s="26" t="str">
        <f t="shared" si="5"/>
        <v/>
      </c>
    </row>
    <row r="18" spans="1:8" x14ac:dyDescent="0.25">
      <c r="A18" s="27"/>
      <c r="B18" s="27"/>
      <c r="C18" s="27" t="str">
        <f t="shared" ca="1" si="0"/>
        <v/>
      </c>
      <c r="D18" s="27" t="str">
        <f t="shared" si="1"/>
        <v/>
      </c>
      <c r="E18" s="27" t="str">
        <f t="shared" si="2"/>
        <v/>
      </c>
      <c r="F18" s="26" t="str">
        <f t="shared" ca="1" si="3"/>
        <v/>
      </c>
      <c r="G18" s="26" t="str">
        <f t="shared" ca="1" si="4"/>
        <v/>
      </c>
      <c r="H18" s="26" t="str">
        <f t="shared" si="5"/>
        <v/>
      </c>
    </row>
    <row r="19" spans="1:8" x14ac:dyDescent="0.25">
      <c r="A19" s="27"/>
      <c r="B19" s="27"/>
      <c r="C19" s="27" t="str">
        <f t="shared" ca="1" si="0"/>
        <v/>
      </c>
      <c r="D19" s="27" t="str">
        <f t="shared" si="1"/>
        <v/>
      </c>
      <c r="E19" s="27" t="str">
        <f t="shared" si="2"/>
        <v/>
      </c>
      <c r="F19" s="26" t="str">
        <f t="shared" ca="1" si="3"/>
        <v/>
      </c>
      <c r="G19" s="26" t="str">
        <f t="shared" ca="1" si="4"/>
        <v/>
      </c>
      <c r="H19" s="26" t="str">
        <f t="shared" si="5"/>
        <v/>
      </c>
    </row>
    <row r="20" spans="1:8" x14ac:dyDescent="0.25">
      <c r="A20" s="27"/>
      <c r="B20" s="27"/>
      <c r="C20" s="27" t="str">
        <f t="shared" ca="1" si="0"/>
        <v/>
      </c>
      <c r="D20" s="27" t="str">
        <f t="shared" si="1"/>
        <v/>
      </c>
      <c r="E20" s="27" t="str">
        <f t="shared" si="2"/>
        <v/>
      </c>
      <c r="F20" s="26" t="str">
        <f t="shared" ca="1" si="3"/>
        <v/>
      </c>
      <c r="G20" s="26" t="str">
        <f t="shared" ca="1" si="4"/>
        <v/>
      </c>
      <c r="H20" s="26" t="str">
        <f t="shared" si="5"/>
        <v/>
      </c>
    </row>
    <row r="21" spans="1:8" x14ac:dyDescent="0.25">
      <c r="A21" s="27"/>
      <c r="B21" s="27"/>
      <c r="C21" s="27" t="str">
        <f t="shared" ca="1" si="0"/>
        <v/>
      </c>
      <c r="D21" s="27" t="str">
        <f t="shared" si="1"/>
        <v/>
      </c>
      <c r="E21" s="27" t="str">
        <f t="shared" si="2"/>
        <v/>
      </c>
      <c r="F21" s="26" t="str">
        <f t="shared" ca="1" si="3"/>
        <v/>
      </c>
      <c r="G21" s="26" t="str">
        <f t="shared" ca="1" si="4"/>
        <v/>
      </c>
      <c r="H21" s="26" t="str">
        <f t="shared" si="5"/>
        <v/>
      </c>
    </row>
    <row r="22" spans="1:8" x14ac:dyDescent="0.25">
      <c r="A22" s="27"/>
      <c r="B22" s="27"/>
      <c r="C22" s="27" t="str">
        <f t="shared" ca="1" si="0"/>
        <v/>
      </c>
      <c r="D22" s="27" t="str">
        <f t="shared" si="1"/>
        <v/>
      </c>
      <c r="E22" s="27" t="str">
        <f t="shared" si="2"/>
        <v/>
      </c>
      <c r="F22" s="26" t="str">
        <f t="shared" ca="1" si="3"/>
        <v/>
      </c>
      <c r="G22" s="26" t="str">
        <f t="shared" ca="1" si="4"/>
        <v/>
      </c>
      <c r="H22" s="26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5"/>
  </sheetPr>
  <dimension ref="A1:D6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5" x14ac:dyDescent="0.25"/>
  <cols>
    <col min="1" max="1" width="28.625" customWidth="1"/>
    <col min="2" max="2" width="92.375" bestFit="1" customWidth="1"/>
    <col min="4" max="4" width="16" bestFit="1" customWidth="1"/>
  </cols>
  <sheetData>
    <row r="1" spans="1:2" ht="18" x14ac:dyDescent="0.25">
      <c r="A1" s="44" t="s">
        <v>14</v>
      </c>
      <c r="B1" s="45"/>
    </row>
    <row r="2" spans="1:2" ht="18" x14ac:dyDescent="0.25">
      <c r="A2" s="7" t="s">
        <v>1</v>
      </c>
      <c r="B2" s="8" t="s">
        <v>5</v>
      </c>
    </row>
    <row r="3" spans="1:2" x14ac:dyDescent="0.25">
      <c r="A3" s="3" t="s">
        <v>0</v>
      </c>
      <c r="B3" s="4" t="str">
        <f>[1]!CreateGUIDString(13)</f>
        <v>{A2871FE6-8843-4068-B686-A11DE9E5A694}</v>
      </c>
    </row>
    <row r="4" spans="1:2" x14ac:dyDescent="0.25">
      <c r="A4" s="5" t="s">
        <v>6</v>
      </c>
      <c r="B4" s="6" t="str">
        <f>[1]!WorkbookBaseName()</f>
        <v>P6CXLSLib4_Dev.XLSM</v>
      </c>
    </row>
    <row r="5" spans="1:2" x14ac:dyDescent="0.25">
      <c r="A5" s="3" t="s">
        <v>7</v>
      </c>
      <c r="B5" s="4" t="str">
        <f>[1]!WorkbookFullName()</f>
        <v>F:\Source_Code\Visual_Studio\Projects\WizardWrx_Libs\AnyCSV\scripts\P6CXLSLib4_Dev.XLSM</v>
      </c>
    </row>
    <row r="6" spans="1:2" x14ac:dyDescent="0.25">
      <c r="A6" s="5" t="s">
        <v>8</v>
      </c>
      <c r="B6" s="6" t="str">
        <f>[1]!WorkbookLeafPathName()</f>
        <v>scripts</v>
      </c>
    </row>
    <row r="7" spans="1:2" x14ac:dyDescent="0.25">
      <c r="A7" s="3" t="s">
        <v>9</v>
      </c>
      <c r="B7" s="4" t="str">
        <f>[1]!WorkbookPathName()</f>
        <v>F:\Source_Code\Visual_Studio\Projects\WizardWrx_Libs\AnyCSV\scripts</v>
      </c>
    </row>
    <row r="8" spans="1:2" x14ac:dyDescent="0.25">
      <c r="A8" s="1" t="s">
        <v>10</v>
      </c>
      <c r="B8" s="2" t="str">
        <f>[1]!WorksheetName()</f>
        <v>AnyCSV Test Cases</v>
      </c>
    </row>
    <row r="10" spans="1:2" ht="18" x14ac:dyDescent="0.25">
      <c r="A10" s="42" t="s">
        <v>13</v>
      </c>
      <c r="B10" s="43"/>
    </row>
    <row r="11" spans="1:2" ht="18" x14ac:dyDescent="0.25">
      <c r="A11" s="11" t="s">
        <v>12</v>
      </c>
      <c r="B11" s="12" t="s">
        <v>11</v>
      </c>
    </row>
    <row r="12" spans="1:2" x14ac:dyDescent="0.25">
      <c r="A12" s="13" t="s">
        <v>1</v>
      </c>
      <c r="B12" s="14" t="str">
        <f>Demonstration_Range_Name</f>
        <v>m_MiscFunctions__Demonstrations</v>
      </c>
    </row>
    <row r="13" spans="1:2" x14ac:dyDescent="0.25">
      <c r="A13" s="15" t="s">
        <v>4</v>
      </c>
      <c r="B13" s="16">
        <f ca="1">ROWS(INDIRECT(Demonstration_Range_Name))</f>
        <v>7</v>
      </c>
    </row>
    <row r="14" spans="1:2" x14ac:dyDescent="0.25">
      <c r="A14" s="13" t="s">
        <v>3</v>
      </c>
      <c r="B14" s="17">
        <f ca="1">COLUMNS(INDIRECT(Demonstration_Range_Name))</f>
        <v>2</v>
      </c>
    </row>
    <row r="15" spans="1:2" x14ac:dyDescent="0.25">
      <c r="A15" s="9" t="s">
        <v>2</v>
      </c>
      <c r="B15" s="10">
        <f ca="1">COLUMNS(INDIRECT(Demonstration_Range_Name)) * ROWS(INDIRECT(Demonstration_Range_Name))</f>
        <v>14</v>
      </c>
    </row>
    <row r="18" spans="1:4" ht="18" x14ac:dyDescent="0.25">
      <c r="A18" s="46" t="s">
        <v>119</v>
      </c>
      <c r="B18" s="47"/>
      <c r="C18" s="47"/>
      <c r="D18" s="48"/>
    </row>
    <row r="19" spans="1:4" x14ac:dyDescent="0.25">
      <c r="A19" s="34">
        <f>COLUMN(A19)</f>
        <v>1</v>
      </c>
      <c r="B19" s="34">
        <f>COLUMN(B19)</f>
        <v>2</v>
      </c>
      <c r="C19" s="35" t="s">
        <v>117</v>
      </c>
      <c r="D19" s="34"/>
    </row>
    <row r="20" spans="1:4" x14ac:dyDescent="0.25">
      <c r="A20" s="34" t="s">
        <v>106</v>
      </c>
      <c r="B20" s="34" t="s">
        <v>106</v>
      </c>
      <c r="C20" s="34">
        <f>ROW(C20)</f>
        <v>20</v>
      </c>
      <c r="D20" s="34"/>
    </row>
    <row r="21" spans="1:4" x14ac:dyDescent="0.25">
      <c r="A21" s="34" t="s">
        <v>106</v>
      </c>
      <c r="B21" s="34" t="s">
        <v>106</v>
      </c>
      <c r="C21" s="34">
        <f t="shared" ref="C21:C60" si="0">ROW(C21)</f>
        <v>21</v>
      </c>
      <c r="D21" s="34">
        <f>[1]!LastNonBlankCellAbove(A$19:A21,ROW(D20))</f>
        <v>1</v>
      </c>
    </row>
    <row r="22" spans="1:4" x14ac:dyDescent="0.25">
      <c r="A22" s="34" t="s">
        <v>106</v>
      </c>
      <c r="B22" s="34" t="s">
        <v>106</v>
      </c>
      <c r="C22" s="34">
        <f t="shared" si="0"/>
        <v>22</v>
      </c>
      <c r="D22" s="34">
        <f>[1]!LastNonBlankCellAbove(A$19:A22,ROW(D21))</f>
        <v>1</v>
      </c>
    </row>
    <row r="23" spans="1:4" x14ac:dyDescent="0.25">
      <c r="A23" s="34" t="s">
        <v>106</v>
      </c>
      <c r="B23" s="34" t="s">
        <v>106</v>
      </c>
      <c r="C23" s="34">
        <f t="shared" si="0"/>
        <v>23</v>
      </c>
      <c r="D23" s="34">
        <f>[1]!LastNonBlankCellAbove(A$19:A23,ROW(D22))</f>
        <v>1</v>
      </c>
    </row>
    <row r="24" spans="1:4" x14ac:dyDescent="0.25">
      <c r="A24" s="34" t="s">
        <v>107</v>
      </c>
      <c r="B24" s="34" t="s">
        <v>106</v>
      </c>
      <c r="C24" s="34">
        <f t="shared" si="0"/>
        <v>24</v>
      </c>
      <c r="D24" s="34">
        <f>[1]!LastNonBlankCellAbove(A$19:A24,ROW(D23))</f>
        <v>1</v>
      </c>
    </row>
    <row r="25" spans="1:4" x14ac:dyDescent="0.25">
      <c r="A25" s="34" t="s">
        <v>106</v>
      </c>
      <c r="B25" s="34" t="s">
        <v>108</v>
      </c>
      <c r="C25" s="34">
        <f t="shared" si="0"/>
        <v>25</v>
      </c>
      <c r="D25" s="34" t="str">
        <f>[1]!LastNonBlankCellAbove(A$19:A25,ROW(D24))</f>
        <v>billingAddress</v>
      </c>
    </row>
    <row r="26" spans="1:4" x14ac:dyDescent="0.25">
      <c r="A26" s="34" t="s">
        <v>106</v>
      </c>
      <c r="B26" s="34" t="s">
        <v>106</v>
      </c>
      <c r="C26" s="34">
        <f t="shared" si="0"/>
        <v>26</v>
      </c>
      <c r="D26" s="34" t="str">
        <f>[1]!LastNonBlankCellAbove(A$19:A26,ROW(D25))</f>
        <v>billingAddress</v>
      </c>
    </row>
    <row r="27" spans="1:4" x14ac:dyDescent="0.25">
      <c r="A27" s="34" t="s">
        <v>106</v>
      </c>
      <c r="B27" s="34" t="s">
        <v>109</v>
      </c>
      <c r="C27" s="34">
        <f t="shared" si="0"/>
        <v>27</v>
      </c>
      <c r="D27" s="34" t="str">
        <f>[1]!LastNonBlankCellAbove(A$19:A27,ROW(D26))</f>
        <v>billingAddress</v>
      </c>
    </row>
    <row r="28" spans="1:4" x14ac:dyDescent="0.25">
      <c r="A28" s="34" t="s">
        <v>106</v>
      </c>
      <c r="B28" s="34" t="s">
        <v>106</v>
      </c>
      <c r="C28" s="34">
        <f t="shared" si="0"/>
        <v>28</v>
      </c>
      <c r="D28" s="34" t="str">
        <f>[1]!LastNonBlankCellAbove(A$19:A28,ROW(D27))</f>
        <v>billingAddress</v>
      </c>
    </row>
    <row r="29" spans="1:4" x14ac:dyDescent="0.25">
      <c r="A29" s="34" t="s">
        <v>106</v>
      </c>
      <c r="B29" s="34" t="s">
        <v>110</v>
      </c>
      <c r="C29" s="34">
        <f t="shared" si="0"/>
        <v>29</v>
      </c>
      <c r="D29" s="34" t="str">
        <f>[1]!LastNonBlankCellAbove(A$19:A29,ROW(D28))</f>
        <v>billingAddress</v>
      </c>
    </row>
    <row r="30" spans="1:4" x14ac:dyDescent="0.25">
      <c r="A30" s="34" t="s">
        <v>106</v>
      </c>
      <c r="B30" s="34" t="s">
        <v>106</v>
      </c>
      <c r="C30" s="34">
        <f t="shared" si="0"/>
        <v>30</v>
      </c>
      <c r="D30" s="34" t="str">
        <f>[1]!LastNonBlankCellAbove(A$19:A30,ROW(D29))</f>
        <v>billingAddress</v>
      </c>
    </row>
    <row r="31" spans="1:4" x14ac:dyDescent="0.25">
      <c r="A31" s="34" t="s">
        <v>106</v>
      </c>
      <c r="B31" s="34" t="s">
        <v>111</v>
      </c>
      <c r="C31" s="34">
        <f t="shared" si="0"/>
        <v>31</v>
      </c>
      <c r="D31" s="34" t="str">
        <f>[1]!LastNonBlankCellAbove(A$19:A31,ROW(D30))</f>
        <v>billingAddress</v>
      </c>
    </row>
    <row r="32" spans="1:4" x14ac:dyDescent="0.25">
      <c r="A32" s="34" t="s">
        <v>106</v>
      </c>
      <c r="B32" s="34" t="s">
        <v>106</v>
      </c>
      <c r="C32" s="34">
        <f t="shared" si="0"/>
        <v>32</v>
      </c>
      <c r="D32" s="34" t="str">
        <f>[1]!LastNonBlankCellAbove(A$19:A32,ROW(D31))</f>
        <v>billingAddress</v>
      </c>
    </row>
    <row r="33" spans="1:4" x14ac:dyDescent="0.25">
      <c r="A33" s="34" t="s">
        <v>106</v>
      </c>
      <c r="B33" s="34" t="s">
        <v>112</v>
      </c>
      <c r="C33" s="34">
        <f t="shared" si="0"/>
        <v>33</v>
      </c>
      <c r="D33" s="34" t="str">
        <f>[1]!LastNonBlankCellAbove(A$19:A33,ROW(D32))</f>
        <v>billingAddress</v>
      </c>
    </row>
    <row r="34" spans="1:4" x14ac:dyDescent="0.25">
      <c r="A34" s="34" t="s">
        <v>106</v>
      </c>
      <c r="B34" s="34" t="s">
        <v>106</v>
      </c>
      <c r="C34" s="34">
        <f t="shared" si="0"/>
        <v>34</v>
      </c>
      <c r="D34" s="34" t="str">
        <f>[1]!LastNonBlankCellAbove(A$19:A34,ROW(D33))</f>
        <v>billingAddress</v>
      </c>
    </row>
    <row r="35" spans="1:4" x14ac:dyDescent="0.25">
      <c r="A35" s="34" t="s">
        <v>106</v>
      </c>
      <c r="B35" s="34" t="s">
        <v>113</v>
      </c>
      <c r="C35" s="34">
        <f t="shared" si="0"/>
        <v>35</v>
      </c>
      <c r="D35" s="34" t="str">
        <f>[1]!LastNonBlankCellAbove(A$19:A35,ROW(D34))</f>
        <v>billingAddress</v>
      </c>
    </row>
    <row r="36" spans="1:4" x14ac:dyDescent="0.25">
      <c r="A36" s="34" t="s">
        <v>106</v>
      </c>
      <c r="B36" s="34" t="s">
        <v>106</v>
      </c>
      <c r="C36" s="34">
        <f t="shared" si="0"/>
        <v>36</v>
      </c>
      <c r="D36" s="34" t="str">
        <f>[1]!LastNonBlankCellAbove(A$19:A36,ROW(D35))</f>
        <v>billingAddress</v>
      </c>
    </row>
    <row r="37" spans="1:4" x14ac:dyDescent="0.25">
      <c r="A37" s="34" t="s">
        <v>106</v>
      </c>
      <c r="B37" s="34" t="s">
        <v>114</v>
      </c>
      <c r="C37" s="34">
        <f t="shared" si="0"/>
        <v>37</v>
      </c>
      <c r="D37" s="34" t="str">
        <f>[1]!LastNonBlankCellAbove(A$19:A37,ROW(D36))</f>
        <v>billingAddress</v>
      </c>
    </row>
    <row r="38" spans="1:4" x14ac:dyDescent="0.25">
      <c r="A38" s="34" t="s">
        <v>106</v>
      </c>
      <c r="B38" s="34" t="s">
        <v>106</v>
      </c>
      <c r="C38" s="34">
        <f t="shared" si="0"/>
        <v>38</v>
      </c>
      <c r="D38" s="34" t="str">
        <f>[1]!LastNonBlankCellAbove(A$19:A38,ROW(D37))</f>
        <v>billingAddress</v>
      </c>
    </row>
    <row r="39" spans="1:4" x14ac:dyDescent="0.25">
      <c r="A39" s="34" t="s">
        <v>106</v>
      </c>
      <c r="B39" s="34" t="s">
        <v>115</v>
      </c>
      <c r="C39" s="34">
        <f t="shared" si="0"/>
        <v>39</v>
      </c>
      <c r="D39" s="34" t="str">
        <f>[1]!LastNonBlankCellAbove(A$19:A39,ROW(D38))</f>
        <v>billingAddress</v>
      </c>
    </row>
    <row r="40" spans="1:4" x14ac:dyDescent="0.25">
      <c r="A40" s="34" t="s">
        <v>106</v>
      </c>
      <c r="B40" s="34" t="s">
        <v>106</v>
      </c>
      <c r="C40" s="34">
        <f t="shared" si="0"/>
        <v>40</v>
      </c>
      <c r="D40" s="34" t="str">
        <f>[1]!LastNonBlankCellAbove(A$19:A40,ROW(D39))</f>
        <v>billingAddress</v>
      </c>
    </row>
    <row r="41" spans="1:4" x14ac:dyDescent="0.25">
      <c r="A41" s="34" t="s">
        <v>106</v>
      </c>
      <c r="B41" s="34" t="s">
        <v>116</v>
      </c>
      <c r="C41" s="34">
        <f t="shared" si="0"/>
        <v>41</v>
      </c>
      <c r="D41" s="34" t="str">
        <f>[1]!LastNonBlankCellAbove(A$19:A41,ROW(D40))</f>
        <v>billingAddress</v>
      </c>
    </row>
    <row r="42" spans="1:4" x14ac:dyDescent="0.25">
      <c r="A42" s="34" t="s">
        <v>106</v>
      </c>
      <c r="B42" s="34" t="s">
        <v>106</v>
      </c>
      <c r="C42" s="34">
        <f t="shared" si="0"/>
        <v>42</v>
      </c>
      <c r="D42" s="34" t="str">
        <f>[1]!LastNonBlankCellAbove(A$19:A42,ROW(D41))</f>
        <v>billingAddress</v>
      </c>
    </row>
    <row r="43" spans="1:4" x14ac:dyDescent="0.25">
      <c r="A43" s="34" t="s">
        <v>106</v>
      </c>
      <c r="B43" s="34" t="s">
        <v>106</v>
      </c>
      <c r="C43" s="34">
        <f t="shared" si="0"/>
        <v>43</v>
      </c>
      <c r="D43" s="34" t="str">
        <f>[1]!LastNonBlankCellAbove(A$19:A43,ROW(D42))</f>
        <v>billingAddress</v>
      </c>
    </row>
    <row r="44" spans="1:4" x14ac:dyDescent="0.25">
      <c r="A44" s="34" t="s">
        <v>118</v>
      </c>
      <c r="B44" s="34" t="s">
        <v>106</v>
      </c>
      <c r="C44" s="34">
        <f t="shared" si="0"/>
        <v>44</v>
      </c>
      <c r="D44" s="34" t="str">
        <f>[1]!LastNonBlankCellAbove(A$19:A44,ROW(D43))</f>
        <v>billingAddress</v>
      </c>
    </row>
    <row r="45" spans="1:4" x14ac:dyDescent="0.25">
      <c r="A45" s="34" t="s">
        <v>106</v>
      </c>
      <c r="B45" s="34" t="s">
        <v>108</v>
      </c>
      <c r="C45" s="34">
        <f t="shared" si="0"/>
        <v>45</v>
      </c>
      <c r="D45" s="34" t="str">
        <f>[1]!LastNonBlankCellAbove(A$19:A45,ROW(D44))</f>
        <v>customerAddress</v>
      </c>
    </row>
    <row r="46" spans="1:4" x14ac:dyDescent="0.25">
      <c r="A46" s="34" t="s">
        <v>106</v>
      </c>
      <c r="B46" s="34" t="s">
        <v>109</v>
      </c>
      <c r="C46" s="34">
        <f t="shared" si="0"/>
        <v>46</v>
      </c>
      <c r="D46" s="34" t="str">
        <f>[1]!LastNonBlankCellAbove(A$19:A46,ROW(D45))</f>
        <v>customerAddress</v>
      </c>
    </row>
    <row r="47" spans="1:4" x14ac:dyDescent="0.25">
      <c r="A47" s="34" t="s">
        <v>106</v>
      </c>
      <c r="B47" s="34" t="s">
        <v>106</v>
      </c>
      <c r="C47" s="34">
        <f t="shared" si="0"/>
        <v>47</v>
      </c>
      <c r="D47" s="34" t="str">
        <f>[1]!LastNonBlankCellAbove(A$19:A47,ROW(D46))</f>
        <v>customerAddress</v>
      </c>
    </row>
    <row r="48" spans="1:4" x14ac:dyDescent="0.25">
      <c r="A48" s="34" t="s">
        <v>106</v>
      </c>
      <c r="B48" s="34" t="s">
        <v>110</v>
      </c>
      <c r="C48" s="34">
        <f t="shared" si="0"/>
        <v>48</v>
      </c>
      <c r="D48" s="34" t="str">
        <f>[1]!LastNonBlankCellAbove(A$19:A48,ROW(D47))</f>
        <v>customerAddress</v>
      </c>
    </row>
    <row r="49" spans="1:4" x14ac:dyDescent="0.25">
      <c r="A49" s="34" t="s">
        <v>106</v>
      </c>
      <c r="B49" s="34" t="s">
        <v>106</v>
      </c>
      <c r="C49" s="34">
        <f t="shared" si="0"/>
        <v>49</v>
      </c>
      <c r="D49" s="34" t="str">
        <f>[1]!LastNonBlankCellAbove(A$19:A49,ROW(D48))</f>
        <v>customerAddress</v>
      </c>
    </row>
    <row r="50" spans="1:4" x14ac:dyDescent="0.25">
      <c r="A50" s="34" t="s">
        <v>106</v>
      </c>
      <c r="B50" s="34" t="s">
        <v>111</v>
      </c>
      <c r="C50" s="34">
        <f t="shared" si="0"/>
        <v>50</v>
      </c>
      <c r="D50" s="34" t="str">
        <f>[1]!LastNonBlankCellAbove(A$19:A50,ROW(D49))</f>
        <v>customerAddress</v>
      </c>
    </row>
    <row r="51" spans="1:4" x14ac:dyDescent="0.25">
      <c r="A51" s="34" t="s">
        <v>106</v>
      </c>
      <c r="B51" s="34" t="s">
        <v>112</v>
      </c>
      <c r="C51" s="34">
        <f t="shared" si="0"/>
        <v>51</v>
      </c>
      <c r="D51" s="34" t="str">
        <f>[1]!LastNonBlankCellAbove(A$19:A51,ROW(D50))</f>
        <v>customerAddress</v>
      </c>
    </row>
    <row r="52" spans="1:4" x14ac:dyDescent="0.25">
      <c r="A52" s="34" t="s">
        <v>106</v>
      </c>
      <c r="B52" s="34" t="s">
        <v>113</v>
      </c>
      <c r="C52" s="34">
        <f t="shared" si="0"/>
        <v>52</v>
      </c>
      <c r="D52" s="34" t="str">
        <f>[1]!LastNonBlankCellAbove(A$19:A52,ROW(D51))</f>
        <v>customerAddress</v>
      </c>
    </row>
    <row r="53" spans="1:4" x14ac:dyDescent="0.25">
      <c r="A53" s="34" t="s">
        <v>106</v>
      </c>
      <c r="B53" s="34" t="s">
        <v>114</v>
      </c>
      <c r="C53" s="34">
        <f t="shared" si="0"/>
        <v>53</v>
      </c>
      <c r="D53" s="34" t="str">
        <f>[1]!LastNonBlankCellAbove(A$19:A53,ROW(D52))</f>
        <v>customerAddress</v>
      </c>
    </row>
    <row r="54" spans="1:4" x14ac:dyDescent="0.25">
      <c r="A54" s="34" t="s">
        <v>106</v>
      </c>
      <c r="B54" s="34" t="s">
        <v>106</v>
      </c>
      <c r="C54" s="34">
        <f t="shared" si="0"/>
        <v>54</v>
      </c>
      <c r="D54" s="34" t="str">
        <f>[1]!LastNonBlankCellAbove(A$19:A54,ROW(D53))</f>
        <v>customerAddress</v>
      </c>
    </row>
    <row r="55" spans="1:4" x14ac:dyDescent="0.25">
      <c r="A55" s="34" t="s">
        <v>106</v>
      </c>
      <c r="B55" s="34" t="s">
        <v>115</v>
      </c>
      <c r="C55" s="34">
        <f t="shared" si="0"/>
        <v>55</v>
      </c>
      <c r="D55" s="34" t="str">
        <f>[1]!LastNonBlankCellAbove(A$19:A55,ROW(D54))</f>
        <v>customerAddress</v>
      </c>
    </row>
    <row r="56" spans="1:4" x14ac:dyDescent="0.25">
      <c r="A56" s="34" t="s">
        <v>106</v>
      </c>
      <c r="B56" s="34" t="s">
        <v>106</v>
      </c>
      <c r="C56" s="34">
        <f t="shared" si="0"/>
        <v>56</v>
      </c>
      <c r="D56" s="34" t="str">
        <f>[1]!LastNonBlankCellAbove(A$19:A56,ROW(D55))</f>
        <v>customerAddress</v>
      </c>
    </row>
    <row r="57" spans="1:4" x14ac:dyDescent="0.25">
      <c r="A57" s="34" t="s">
        <v>106</v>
      </c>
      <c r="B57" s="34" t="s">
        <v>116</v>
      </c>
      <c r="C57" s="34">
        <f t="shared" si="0"/>
        <v>57</v>
      </c>
      <c r="D57" s="34" t="str">
        <f>[1]!LastNonBlankCellAbove(A$19:A57,ROW(D56))</f>
        <v>customerAddress</v>
      </c>
    </row>
    <row r="58" spans="1:4" x14ac:dyDescent="0.25">
      <c r="A58" s="34" t="s">
        <v>106</v>
      </c>
      <c r="B58" s="34" t="s">
        <v>106</v>
      </c>
      <c r="C58" s="34">
        <f t="shared" si="0"/>
        <v>58</v>
      </c>
      <c r="D58" s="34" t="str">
        <f>[1]!LastNonBlankCellAbove(A$19:A58,ROW(D57))</f>
        <v>customerAddress</v>
      </c>
    </row>
    <row r="59" spans="1:4" x14ac:dyDescent="0.25">
      <c r="A59" s="34" t="s">
        <v>106</v>
      </c>
      <c r="B59" s="34" t="s">
        <v>106</v>
      </c>
      <c r="C59" s="34">
        <f t="shared" si="0"/>
        <v>59</v>
      </c>
      <c r="D59" s="34" t="str">
        <f>[1]!LastNonBlankCellAbove(A$19:A59,ROW(D58))</f>
        <v>customerAddress</v>
      </c>
    </row>
    <row r="60" spans="1:4" x14ac:dyDescent="0.25">
      <c r="A60" s="34" t="s">
        <v>106</v>
      </c>
      <c r="B60" s="34" t="s">
        <v>106</v>
      </c>
      <c r="C60" s="34">
        <f t="shared" si="0"/>
        <v>60</v>
      </c>
      <c r="D60" s="34" t="str">
        <f>[1]!LastNonBlankCellAbove(A$19:A60,ROW(D59))</f>
        <v>customerAddress</v>
      </c>
    </row>
  </sheetData>
  <mergeCells count="3">
    <mergeCell ref="A10:B10"/>
    <mergeCell ref="A1:B1"/>
    <mergeCell ref="A18:D18"/>
  </mergeCells>
  <hyperlinks>
    <hyperlink ref="B11" location="m_MiscFunctions__Demonstrations" display="m_MiscFunctions__Demonstrations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12"/>
  <sheetViews>
    <sheetView tabSelected="1" workbookViewId="0">
      <selection activeCell="A4" sqref="A4"/>
    </sheetView>
  </sheetViews>
  <sheetFormatPr defaultRowHeight="15" x14ac:dyDescent="0.25"/>
  <cols>
    <col min="1" max="1" width="2.875" bestFit="1" customWidth="1"/>
    <col min="2" max="2" width="102.625" bestFit="1" customWidth="1"/>
    <col min="3" max="3" width="8.25" bestFit="1" customWidth="1"/>
    <col min="4" max="4" width="15.125" bestFit="1" customWidth="1"/>
    <col min="5" max="5" width="20.25" bestFit="1" customWidth="1"/>
    <col min="6" max="6" width="26.5" bestFit="1" customWidth="1"/>
    <col min="7" max="7" width="17.25" bestFit="1" customWidth="1"/>
    <col min="8" max="8" width="50.25" bestFit="1" customWidth="1"/>
    <col min="9" max="9" width="15.125" bestFit="1" customWidth="1"/>
    <col min="10" max="10" width="7" bestFit="1" customWidth="1"/>
    <col min="11" max="11" width="8" bestFit="1" customWidth="1"/>
    <col min="12" max="12" width="4" bestFit="1" customWidth="1"/>
    <col min="13" max="13" width="23.375" bestFit="1" customWidth="1"/>
    <col min="14" max="15" width="4.125" bestFit="1" customWidth="1"/>
  </cols>
  <sheetData>
    <row r="1" spans="1:15" ht="22.5" x14ac:dyDescent="0.3">
      <c r="A1" s="49" t="s">
        <v>15</v>
      </c>
      <c r="B1" s="49"/>
      <c r="C1" s="49" t="s">
        <v>16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ht="18" x14ac:dyDescent="0.25">
      <c r="A2" s="18" t="s">
        <v>17</v>
      </c>
      <c r="B2" s="18" t="s">
        <v>18</v>
      </c>
      <c r="C2" s="18" t="s">
        <v>19</v>
      </c>
      <c r="D2" s="18">
        <f t="shared" ref="D2:O2" si="0">IF(ISNUMBER(C2),C2+1,1)</f>
        <v>1</v>
      </c>
      <c r="E2" s="18">
        <f t="shared" si="0"/>
        <v>2</v>
      </c>
      <c r="F2" s="18">
        <f t="shared" si="0"/>
        <v>3</v>
      </c>
      <c r="G2" s="18">
        <f t="shared" si="0"/>
        <v>4</v>
      </c>
      <c r="H2" s="18">
        <f t="shared" si="0"/>
        <v>5</v>
      </c>
      <c r="I2" s="18">
        <f t="shared" si="0"/>
        <v>6</v>
      </c>
      <c r="J2" s="18">
        <f t="shared" si="0"/>
        <v>7</v>
      </c>
      <c r="K2" s="18">
        <f t="shared" si="0"/>
        <v>8</v>
      </c>
      <c r="L2" s="18">
        <f t="shared" si="0"/>
        <v>9</v>
      </c>
      <c r="M2" s="18">
        <f t="shared" si="0"/>
        <v>10</v>
      </c>
      <c r="N2" s="18">
        <f t="shared" si="0"/>
        <v>11</v>
      </c>
      <c r="O2" s="18">
        <f t="shared" si="0"/>
        <v>12</v>
      </c>
    </row>
    <row r="3" spans="1:15" x14ac:dyDescent="0.25">
      <c r="A3" s="19">
        <f>IF(ISNUMBER(A2),A2+1,1)</f>
        <v>1</v>
      </c>
      <c r="B3" s="19" t="s">
        <v>20</v>
      </c>
      <c r="C3" s="19">
        <f t="shared" ref="C3:C12" si="1">[1]!ParseAnyCSVGetSubstringCount(B3)</f>
        <v>5</v>
      </c>
      <c r="D3" s="19" t="str">
        <f t="shared" ref="D3:D12" si="2">[1]!ParseAnyCSVExtractSubstring($B3,D$2)</f>
        <v>This</v>
      </c>
      <c r="E3" s="19" t="str">
        <f>[1]!ParseAnyCSVExtractSubstring($B3,E$2)</f>
        <v>is</v>
      </c>
      <c r="F3" s="19" t="str">
        <f t="shared" ref="F3:O12" si="3">[1]!ParseAnyCSVExtractSubstring($B3,F$2)</f>
        <v>a</v>
      </c>
      <c r="G3" s="19" t="str">
        <f t="shared" si="3"/>
        <v>basic</v>
      </c>
      <c r="H3" s="19" t="str">
        <f t="shared" si="3"/>
        <v>test.</v>
      </c>
      <c r="I3" s="19" t="str">
        <f t="shared" si="3"/>
        <v/>
      </c>
      <c r="J3" s="19" t="str">
        <f t="shared" si="3"/>
        <v/>
      </c>
      <c r="K3" s="19" t="str">
        <f t="shared" si="3"/>
        <v/>
      </c>
      <c r="L3" s="19" t="str">
        <f t="shared" si="3"/>
        <v/>
      </c>
      <c r="M3" s="19" t="str">
        <f t="shared" si="3"/>
        <v/>
      </c>
      <c r="N3" s="19" t="str">
        <f t="shared" si="3"/>
        <v/>
      </c>
      <c r="O3" s="19" t="str">
        <f t="shared" si="3"/>
        <v/>
      </c>
    </row>
    <row r="4" spans="1:15" x14ac:dyDescent="0.25">
      <c r="A4" s="19">
        <f t="shared" ref="A4:A12" si="4">IF(ISNUMBER(A3),A3+1,1)</f>
        <v>2</v>
      </c>
      <c r="B4" s="19" t="s">
        <v>21</v>
      </c>
      <c r="C4" s="19">
        <f t="shared" si="1"/>
        <v>8</v>
      </c>
      <c r="D4" s="19" t="str">
        <f t="shared" si="2"/>
        <v/>
      </c>
      <c r="E4" s="19" t="str">
        <f t="shared" ref="E4:E12" si="5">[1]!ParseAnyCSVExtractSubstring($B4,E$2)</f>
        <v>This</v>
      </c>
      <c r="F4" s="19" t="str">
        <f t="shared" si="3"/>
        <v>test</v>
      </c>
      <c r="G4" s="19" t="str">
        <f t="shared" si="3"/>
        <v>starts</v>
      </c>
      <c r="H4" s="19" t="str">
        <f t="shared" si="3"/>
        <v>with</v>
      </c>
      <c r="I4" s="19" t="str">
        <f t="shared" si="3"/>
        <v>an</v>
      </c>
      <c r="J4" s="19" t="str">
        <f t="shared" si="3"/>
        <v>empty</v>
      </c>
      <c r="K4" s="19" t="str">
        <f t="shared" si="3"/>
        <v>string.</v>
      </c>
      <c r="L4" s="19" t="str">
        <f t="shared" si="3"/>
        <v/>
      </c>
      <c r="M4" s="19" t="str">
        <f t="shared" si="3"/>
        <v/>
      </c>
      <c r="N4" s="19" t="str">
        <f t="shared" si="3"/>
        <v/>
      </c>
      <c r="O4" s="19" t="str">
        <f t="shared" si="3"/>
        <v/>
      </c>
    </row>
    <row r="5" spans="1:15" x14ac:dyDescent="0.25">
      <c r="A5" s="19">
        <f t="shared" si="4"/>
        <v>3</v>
      </c>
      <c r="B5" s="19" t="s">
        <v>22</v>
      </c>
      <c r="C5" s="19">
        <f t="shared" si="1"/>
        <v>8</v>
      </c>
      <c r="D5" s="19" t="str">
        <f t="shared" si="2"/>
        <v>This</v>
      </c>
      <c r="E5" s="19" t="str">
        <f t="shared" si="5"/>
        <v>test</v>
      </c>
      <c r="F5" s="19" t="str">
        <f t="shared" si="3"/>
        <v>ends</v>
      </c>
      <c r="G5" s="19" t="str">
        <f t="shared" si="3"/>
        <v>with</v>
      </c>
      <c r="H5" s="19" t="str">
        <f t="shared" si="3"/>
        <v>an</v>
      </c>
      <c r="I5" s="19" t="str">
        <f t="shared" si="3"/>
        <v>empty</v>
      </c>
      <c r="J5" s="19" t="str">
        <f t="shared" si="3"/>
        <v>field.</v>
      </c>
      <c r="K5" s="19" t="str">
        <f t="shared" si="3"/>
        <v/>
      </c>
      <c r="L5" s="19" t="str">
        <f t="shared" si="3"/>
        <v/>
      </c>
      <c r="M5" s="19" t="str">
        <f t="shared" si="3"/>
        <v/>
      </c>
      <c r="N5" s="19" t="str">
        <f t="shared" si="3"/>
        <v/>
      </c>
      <c r="O5" s="19" t="str">
        <f t="shared" si="3"/>
        <v/>
      </c>
    </row>
    <row r="6" spans="1:15" x14ac:dyDescent="0.25">
      <c r="A6" s="19">
        <f t="shared" si="4"/>
        <v>4</v>
      </c>
      <c r="B6" s="19" t="s">
        <v>23</v>
      </c>
      <c r="C6" s="19">
        <f t="shared" si="1"/>
        <v>6</v>
      </c>
      <c r="D6" s="19" t="str">
        <f t="shared" si="2"/>
        <v>This test</v>
      </c>
      <c r="E6" s="19" t="str">
        <f t="shared" si="5"/>
        <v>starts</v>
      </c>
      <c r="F6" s="19" t="str">
        <f t="shared" si="3"/>
        <v>with</v>
      </c>
      <c r="G6" s="19" t="str">
        <f t="shared" si="3"/>
        <v>a</v>
      </c>
      <c r="H6" s="19" t="str">
        <f t="shared" si="3"/>
        <v>quoted</v>
      </c>
      <c r="I6" s="19" t="str">
        <f t="shared" si="3"/>
        <v>string.</v>
      </c>
      <c r="J6" s="19" t="str">
        <f t="shared" si="3"/>
        <v/>
      </c>
      <c r="K6" s="19" t="str">
        <f t="shared" si="3"/>
        <v/>
      </c>
      <c r="L6" s="19" t="str">
        <f t="shared" si="3"/>
        <v/>
      </c>
      <c r="M6" s="19" t="str">
        <f t="shared" si="3"/>
        <v/>
      </c>
      <c r="N6" s="19" t="str">
        <f t="shared" si="3"/>
        <v/>
      </c>
      <c r="O6" s="19" t="str">
        <f t="shared" si="3"/>
        <v/>
      </c>
    </row>
    <row r="7" spans="1:15" x14ac:dyDescent="0.25">
      <c r="A7" s="19">
        <f t="shared" si="4"/>
        <v>5</v>
      </c>
      <c r="B7" s="19" t="s">
        <v>24</v>
      </c>
      <c r="C7" s="19">
        <f t="shared" si="1"/>
        <v>6</v>
      </c>
      <c r="D7" s="19" t="str">
        <f t="shared" si="2"/>
        <v>This</v>
      </c>
      <c r="E7" s="19" t="str">
        <f t="shared" si="5"/>
        <v>test</v>
      </c>
      <c r="F7" s="19" t="str">
        <f t="shared" si="3"/>
        <v>ends</v>
      </c>
      <c r="G7" s="19" t="str">
        <f t="shared" si="3"/>
        <v>with</v>
      </c>
      <c r="H7" s="19" t="str">
        <f t="shared" si="3"/>
        <v>a</v>
      </c>
      <c r="I7" s="19" t="str">
        <f t="shared" si="3"/>
        <v>quoted string.</v>
      </c>
      <c r="J7" s="19" t="str">
        <f t="shared" si="3"/>
        <v/>
      </c>
      <c r="K7" s="19" t="str">
        <f t="shared" si="3"/>
        <v/>
      </c>
      <c r="L7" s="19" t="str">
        <f t="shared" si="3"/>
        <v/>
      </c>
      <c r="M7" s="19" t="str">
        <f t="shared" si="3"/>
        <v/>
      </c>
      <c r="N7" s="19" t="str">
        <f t="shared" si="3"/>
        <v/>
      </c>
      <c r="O7" s="19" t="str">
        <f t="shared" si="3"/>
        <v/>
      </c>
    </row>
    <row r="8" spans="1:15" x14ac:dyDescent="0.25">
      <c r="A8" s="19">
        <f t="shared" si="4"/>
        <v>6</v>
      </c>
      <c r="B8" s="19" t="s">
        <v>25</v>
      </c>
      <c r="C8" s="19">
        <f t="shared" si="1"/>
        <v>5</v>
      </c>
      <c r="D8" s="19" t="str">
        <f t="shared" si="2"/>
        <v>This</v>
      </c>
      <c r="E8" s="19" t="str">
        <f t="shared" si="5"/>
        <v>test</v>
      </c>
      <c r="F8" s="19" t="str">
        <f t="shared" si="3"/>
        <v>contains an embedded</v>
      </c>
      <c r="G8" s="19" t="str">
        <f t="shared" si="3"/>
        <v>quoted</v>
      </c>
      <c r="H8" s="19" t="str">
        <f t="shared" si="3"/>
        <v>string.</v>
      </c>
      <c r="I8" s="19" t="str">
        <f t="shared" si="3"/>
        <v/>
      </c>
      <c r="J8" s="19" t="str">
        <f t="shared" si="3"/>
        <v/>
      </c>
      <c r="K8" s="19" t="str">
        <f t="shared" si="3"/>
        <v/>
      </c>
      <c r="L8" s="19" t="str">
        <f t="shared" si="3"/>
        <v/>
      </c>
      <c r="M8" s="19" t="str">
        <f t="shared" si="3"/>
        <v/>
      </c>
      <c r="N8" s="19" t="str">
        <f t="shared" si="3"/>
        <v/>
      </c>
      <c r="O8" s="19" t="str">
        <f t="shared" si="3"/>
        <v/>
      </c>
    </row>
    <row r="9" spans="1:15" x14ac:dyDescent="0.25">
      <c r="A9" s="19">
        <f t="shared" si="4"/>
        <v>7</v>
      </c>
      <c r="B9" s="19" t="s">
        <v>26</v>
      </c>
      <c r="C9" s="19">
        <f t="shared" si="1"/>
        <v>4</v>
      </c>
      <c r="D9" s="19" t="str">
        <f t="shared" si="2"/>
        <v>This</v>
      </c>
      <c r="E9" s="19" t="str">
        <f t="shared" si="5"/>
        <v>test contains</v>
      </c>
      <c r="F9" s="19" t="str">
        <f t="shared" si="3"/>
        <v>two</v>
      </c>
      <c r="G9" s="19" t="str">
        <f t="shared" si="3"/>
        <v>quoted strings.</v>
      </c>
      <c r="H9" s="19" t="str">
        <f t="shared" si="3"/>
        <v/>
      </c>
      <c r="I9" s="19" t="str">
        <f t="shared" si="3"/>
        <v/>
      </c>
      <c r="J9" s="19" t="str">
        <f t="shared" si="3"/>
        <v/>
      </c>
      <c r="K9" s="19" t="str">
        <f t="shared" si="3"/>
        <v/>
      </c>
      <c r="L9" s="19" t="str">
        <f t="shared" si="3"/>
        <v/>
      </c>
      <c r="M9" s="19" t="str">
        <f t="shared" si="3"/>
        <v/>
      </c>
      <c r="N9" s="19" t="str">
        <f t="shared" si="3"/>
        <v/>
      </c>
      <c r="O9" s="19" t="str">
        <f t="shared" si="3"/>
        <v/>
      </c>
    </row>
    <row r="10" spans="1:15" x14ac:dyDescent="0.25">
      <c r="A10" s="19">
        <f t="shared" si="4"/>
        <v>8</v>
      </c>
      <c r="B10" s="19" t="s">
        <v>27</v>
      </c>
      <c r="C10" s="19">
        <f t="shared" si="1"/>
        <v>5</v>
      </c>
      <c r="D10" s="19" t="str">
        <f t="shared" si="2"/>
        <v>This</v>
      </c>
      <c r="E10" s="19" t="str">
        <f t="shared" si="5"/>
        <v>test</v>
      </c>
      <c r="F10" s="19" t="str">
        <f t="shared" si="3"/>
        <v>contains a quoted string,</v>
      </c>
      <c r="G10" s="19" t="str">
        <f t="shared" si="3"/>
        <v>followed by more</v>
      </c>
      <c r="H10" s="19" t="str">
        <f t="shared" si="3"/>
        <v>text, both of which include commas.</v>
      </c>
      <c r="I10" s="19" t="str">
        <f t="shared" si="3"/>
        <v/>
      </c>
      <c r="J10" s="19" t="str">
        <f t="shared" si="3"/>
        <v/>
      </c>
      <c r="K10" s="19" t="str">
        <f t="shared" si="3"/>
        <v/>
      </c>
      <c r="L10" s="19" t="str">
        <f t="shared" si="3"/>
        <v/>
      </c>
      <c r="M10" s="19" t="str">
        <f t="shared" si="3"/>
        <v/>
      </c>
      <c r="N10" s="19" t="str">
        <f t="shared" si="3"/>
        <v/>
      </c>
      <c r="O10" s="19" t="str">
        <f t="shared" si="3"/>
        <v/>
      </c>
    </row>
    <row r="11" spans="1:15" x14ac:dyDescent="0.25">
      <c r="A11" s="19">
        <f t="shared" si="4"/>
        <v>9</v>
      </c>
      <c r="B11" s="19" t="s">
        <v>28</v>
      </c>
      <c r="C11" s="19">
        <f t="shared" si="1"/>
        <v>11</v>
      </c>
      <c r="D11" s="19" t="str">
        <f t="shared" si="2"/>
        <v/>
      </c>
      <c r="E11" s="19" t="str">
        <f t="shared" si="5"/>
        <v>This</v>
      </c>
      <c r="F11" s="19" t="str">
        <f t="shared" si="3"/>
        <v>test</v>
      </c>
      <c r="G11" s="19" t="str">
        <f t="shared" si="3"/>
        <v/>
      </c>
      <c r="H11" s="19" t="str">
        <f t="shared" si="3"/>
        <v>includes a little of this, and a little of that,</v>
      </c>
      <c r="I11" s="19" t="str">
        <f t="shared" si="3"/>
        <v/>
      </c>
      <c r="J11" s="19" t="str">
        <f t="shared" si="3"/>
        <v>to</v>
      </c>
      <c r="K11" s="19" t="str">
        <f t="shared" si="3"/>
        <v>push</v>
      </c>
      <c r="L11" s="19" t="str">
        <f t="shared" si="3"/>
        <v>the</v>
      </c>
      <c r="M11" s="19" t="str">
        <f t="shared" si="3"/>
        <v>routine to its limits.</v>
      </c>
      <c r="N11" s="19" t="str">
        <f t="shared" si="3"/>
        <v/>
      </c>
      <c r="O11" s="19" t="str">
        <f t="shared" si="3"/>
        <v/>
      </c>
    </row>
    <row r="12" spans="1:15" x14ac:dyDescent="0.25">
      <c r="A12" s="19">
        <f t="shared" si="4"/>
        <v>10</v>
      </c>
      <c r="B12" s="19" t="s">
        <v>29</v>
      </c>
      <c r="C12" s="19">
        <f t="shared" si="1"/>
        <v>3</v>
      </c>
      <c r="D12" s="19" t="str">
        <f t="shared" si="2"/>
        <v>CN=RapidSSL CA</v>
      </c>
      <c r="E12" s="19" t="str">
        <f t="shared" si="5"/>
        <v xml:space="preserve"> O="GeoTrust, Inc."</v>
      </c>
      <c r="F12" s="19" t="str">
        <f t="shared" si="3"/>
        <v xml:space="preserve"> C=US</v>
      </c>
      <c r="G12" s="19" t="str">
        <f t="shared" si="3"/>
        <v/>
      </c>
      <c r="H12" s="19" t="str">
        <f t="shared" si="3"/>
        <v/>
      </c>
      <c r="I12" s="19" t="str">
        <f t="shared" si="3"/>
        <v/>
      </c>
      <c r="J12" s="19" t="str">
        <f t="shared" si="3"/>
        <v/>
      </c>
      <c r="K12" s="19" t="str">
        <f t="shared" si="3"/>
        <v/>
      </c>
      <c r="L12" s="19" t="str">
        <f t="shared" si="3"/>
        <v/>
      </c>
      <c r="M12" s="19" t="str">
        <f t="shared" si="3"/>
        <v/>
      </c>
      <c r="N12" s="19" t="str">
        <f t="shared" si="3"/>
        <v/>
      </c>
      <c r="O12" s="19" t="str">
        <f t="shared" si="3"/>
        <v/>
      </c>
    </row>
  </sheetData>
  <mergeCells count="2">
    <mergeCell ref="A1:B1"/>
    <mergeCell ref="C1:O1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F26"/>
  <sheetViews>
    <sheetView workbookViewId="0"/>
  </sheetViews>
  <sheetFormatPr defaultRowHeight="15" x14ac:dyDescent="0.25"/>
  <cols>
    <col min="1" max="1" width="20.5" style="20" bestFit="1" customWidth="1"/>
    <col min="2" max="2" width="6.75" style="20" bestFit="1" customWidth="1"/>
    <col min="3" max="3" width="6.875" style="20" bestFit="1" customWidth="1"/>
    <col min="4" max="4" width="9.875" style="20" bestFit="1" customWidth="1"/>
    <col min="5" max="5" width="58.625" style="20" bestFit="1" customWidth="1"/>
    <col min="6" max="6" width="21.875" style="20" bestFit="1" customWidth="1"/>
    <col min="7" max="16384" width="9" style="20"/>
  </cols>
  <sheetData>
    <row r="1" spans="1:6" ht="15.75" x14ac:dyDescent="0.25">
      <c r="A1" s="25" t="s">
        <v>72</v>
      </c>
      <c r="B1" s="25" t="s">
        <v>71</v>
      </c>
      <c r="C1" s="25" t="s">
        <v>70</v>
      </c>
      <c r="D1" s="25" t="s">
        <v>69</v>
      </c>
      <c r="E1" s="25" t="s">
        <v>68</v>
      </c>
      <c r="F1" s="25" t="s">
        <v>67</v>
      </c>
    </row>
    <row r="2" spans="1:6" x14ac:dyDescent="0.25">
      <c r="A2" s="21" t="s">
        <v>66</v>
      </c>
      <c r="B2" s="21">
        <v>0</v>
      </c>
      <c r="C2" s="21" t="str">
        <f t="shared" ref="C2:C24" si="0">IF(ISBLANK(B2),"",CONCATENATE("0x",DEC2HEX(B2,4)))</f>
        <v>0x0000</v>
      </c>
      <c r="D2" s="21" t="str">
        <f t="shared" ref="D2:D24" si="1">IF(ISBLANK(B2),"",DEC2BIN(B2,9))</f>
        <v>000000000</v>
      </c>
      <c r="E2" s="22" t="s">
        <v>65</v>
      </c>
      <c r="F2" s="21" t="str">
        <f t="shared" ref="F2:F24" si="2">IF(ISBLANK(A2),"",A2)</f>
        <v>vbEmpty</v>
      </c>
    </row>
    <row r="3" spans="1:6" x14ac:dyDescent="0.25">
      <c r="A3" s="23"/>
      <c r="B3" s="23"/>
      <c r="C3" s="23" t="str">
        <f t="shared" si="0"/>
        <v/>
      </c>
      <c r="D3" s="23" t="str">
        <f t="shared" si="1"/>
        <v/>
      </c>
      <c r="E3" s="24"/>
      <c r="F3" s="23" t="str">
        <f t="shared" si="2"/>
        <v/>
      </c>
    </row>
    <row r="4" spans="1:6" x14ac:dyDescent="0.25">
      <c r="A4" s="21" t="s">
        <v>64</v>
      </c>
      <c r="B4" s="21">
        <v>1</v>
      </c>
      <c r="C4" s="21" t="str">
        <f t="shared" si="0"/>
        <v>0x0001</v>
      </c>
      <c r="D4" s="21" t="str">
        <f t="shared" si="1"/>
        <v>000000001</v>
      </c>
      <c r="E4" s="22" t="s">
        <v>63</v>
      </c>
      <c r="F4" s="21" t="str">
        <f t="shared" si="2"/>
        <v>vbNull</v>
      </c>
    </row>
    <row r="5" spans="1:6" x14ac:dyDescent="0.25">
      <c r="A5" s="23"/>
      <c r="B5" s="23"/>
      <c r="C5" s="23" t="str">
        <f t="shared" si="0"/>
        <v/>
      </c>
      <c r="D5" s="23" t="str">
        <f t="shared" si="1"/>
        <v/>
      </c>
      <c r="E5" s="24"/>
      <c r="F5" s="23" t="str">
        <f t="shared" si="2"/>
        <v/>
      </c>
    </row>
    <row r="6" spans="1:6" x14ac:dyDescent="0.25">
      <c r="A6" s="21" t="s">
        <v>62</v>
      </c>
      <c r="B6" s="21">
        <v>2</v>
      </c>
      <c r="C6" s="21" t="str">
        <f t="shared" si="0"/>
        <v>0x0002</v>
      </c>
      <c r="D6" s="21" t="str">
        <f t="shared" si="1"/>
        <v>000000010</v>
      </c>
      <c r="E6" s="22" t="s">
        <v>61</v>
      </c>
      <c r="F6" s="21" t="str">
        <f t="shared" si="2"/>
        <v>vbInteger</v>
      </c>
    </row>
    <row r="7" spans="1:6" x14ac:dyDescent="0.25">
      <c r="A7" s="21" t="s">
        <v>60</v>
      </c>
      <c r="B7" s="21">
        <v>3</v>
      </c>
      <c r="C7" s="21" t="str">
        <f t="shared" si="0"/>
        <v>0x0003</v>
      </c>
      <c r="D7" s="21" t="str">
        <f t="shared" si="1"/>
        <v>000000011</v>
      </c>
      <c r="E7" s="22" t="s">
        <v>59</v>
      </c>
      <c r="F7" s="21" t="str">
        <f t="shared" si="2"/>
        <v>vbLong</v>
      </c>
    </row>
    <row r="8" spans="1:6" x14ac:dyDescent="0.25">
      <c r="A8" s="21" t="s">
        <v>58</v>
      </c>
      <c r="B8" s="21">
        <v>4</v>
      </c>
      <c r="C8" s="21" t="str">
        <f t="shared" si="0"/>
        <v>0x0004</v>
      </c>
      <c r="D8" s="21" t="str">
        <f t="shared" si="1"/>
        <v>000000100</v>
      </c>
      <c r="E8" s="22" t="s">
        <v>57</v>
      </c>
      <c r="F8" s="21" t="str">
        <f t="shared" si="2"/>
        <v>vbSingle</v>
      </c>
    </row>
    <row r="9" spans="1:6" x14ac:dyDescent="0.25">
      <c r="A9" s="21" t="s">
        <v>56</v>
      </c>
      <c r="B9" s="21">
        <v>5</v>
      </c>
      <c r="C9" s="21" t="str">
        <f t="shared" si="0"/>
        <v>0x0005</v>
      </c>
      <c r="D9" s="21" t="str">
        <f t="shared" si="1"/>
        <v>000000101</v>
      </c>
      <c r="E9" s="22" t="s">
        <v>55</v>
      </c>
      <c r="F9" s="21" t="str">
        <f t="shared" si="2"/>
        <v>vbDouble</v>
      </c>
    </row>
    <row r="10" spans="1:6" x14ac:dyDescent="0.25">
      <c r="A10" s="21" t="s">
        <v>54</v>
      </c>
      <c r="B10" s="21">
        <v>6</v>
      </c>
      <c r="C10" s="21" t="str">
        <f t="shared" si="0"/>
        <v>0x0006</v>
      </c>
      <c r="D10" s="21" t="str">
        <f t="shared" si="1"/>
        <v>000000110</v>
      </c>
      <c r="E10" s="22" t="s">
        <v>53</v>
      </c>
      <c r="F10" s="21" t="str">
        <f t="shared" si="2"/>
        <v>vbCurrency</v>
      </c>
    </row>
    <row r="11" spans="1:6" x14ac:dyDescent="0.25">
      <c r="A11" s="21" t="s">
        <v>52</v>
      </c>
      <c r="B11" s="21">
        <v>7</v>
      </c>
      <c r="C11" s="21" t="str">
        <f t="shared" si="0"/>
        <v>0x0007</v>
      </c>
      <c r="D11" s="21" t="str">
        <f t="shared" si="1"/>
        <v>000000111</v>
      </c>
      <c r="E11" s="22" t="s">
        <v>51</v>
      </c>
      <c r="F11" s="21" t="str">
        <f t="shared" si="2"/>
        <v>vbDate</v>
      </c>
    </row>
    <row r="12" spans="1:6" x14ac:dyDescent="0.25">
      <c r="A12" s="21" t="s">
        <v>50</v>
      </c>
      <c r="B12" s="21">
        <v>8</v>
      </c>
      <c r="C12" s="21" t="str">
        <f t="shared" si="0"/>
        <v>0x0008</v>
      </c>
      <c r="D12" s="21" t="str">
        <f t="shared" si="1"/>
        <v>000001000</v>
      </c>
      <c r="E12" s="22" t="s">
        <v>18</v>
      </c>
      <c r="F12" s="21" t="str">
        <f t="shared" si="2"/>
        <v>vbString</v>
      </c>
    </row>
    <row r="13" spans="1:6" x14ac:dyDescent="0.25">
      <c r="A13" s="21" t="s">
        <v>49</v>
      </c>
      <c r="B13" s="21">
        <v>9</v>
      </c>
      <c r="C13" s="21" t="str">
        <f t="shared" si="0"/>
        <v>0x0009</v>
      </c>
      <c r="D13" s="21" t="str">
        <f t="shared" si="1"/>
        <v>000001001</v>
      </c>
      <c r="E13" s="22" t="s">
        <v>48</v>
      </c>
      <c r="F13" s="21" t="str">
        <f t="shared" si="2"/>
        <v>vbObject</v>
      </c>
    </row>
    <row r="14" spans="1:6" x14ac:dyDescent="0.25">
      <c r="A14" s="21" t="s">
        <v>47</v>
      </c>
      <c r="B14" s="21">
        <v>10</v>
      </c>
      <c r="C14" s="21" t="str">
        <f t="shared" si="0"/>
        <v>0x000A</v>
      </c>
      <c r="D14" s="21" t="str">
        <f t="shared" si="1"/>
        <v>000001010</v>
      </c>
      <c r="E14" s="22" t="s">
        <v>46</v>
      </c>
      <c r="F14" s="21" t="str">
        <f t="shared" si="2"/>
        <v>vbError</v>
      </c>
    </row>
    <row r="15" spans="1:6" x14ac:dyDescent="0.25">
      <c r="A15" s="21" t="s">
        <v>45</v>
      </c>
      <c r="B15" s="21">
        <v>11</v>
      </c>
      <c r="C15" s="21" t="str">
        <f t="shared" si="0"/>
        <v>0x000B</v>
      </c>
      <c r="D15" s="21" t="str">
        <f t="shared" si="1"/>
        <v>000001011</v>
      </c>
      <c r="E15" s="22" t="s">
        <v>44</v>
      </c>
      <c r="F15" s="21" t="str">
        <f t="shared" si="2"/>
        <v>vbBoolean</v>
      </c>
    </row>
    <row r="16" spans="1:6" x14ac:dyDescent="0.25">
      <c r="A16" s="21" t="s">
        <v>43</v>
      </c>
      <c r="B16" s="21">
        <v>12</v>
      </c>
      <c r="C16" s="21" t="str">
        <f t="shared" si="0"/>
        <v>0x000C</v>
      </c>
      <c r="D16" s="21" t="str">
        <f t="shared" si="1"/>
        <v>000001100</v>
      </c>
      <c r="E16" s="22" t="s">
        <v>42</v>
      </c>
      <c r="F16" s="21" t="str">
        <f t="shared" si="2"/>
        <v>vbVariant</v>
      </c>
    </row>
    <row r="17" spans="1:6" x14ac:dyDescent="0.25">
      <c r="A17" s="23"/>
      <c r="B17" s="23"/>
      <c r="C17" s="23" t="str">
        <f t="shared" si="0"/>
        <v/>
      </c>
      <c r="D17" s="23" t="str">
        <f t="shared" si="1"/>
        <v/>
      </c>
      <c r="E17" s="24"/>
      <c r="F17" s="23" t="str">
        <f t="shared" si="2"/>
        <v/>
      </c>
    </row>
    <row r="18" spans="1:6" x14ac:dyDescent="0.25">
      <c r="A18" s="21" t="s">
        <v>41</v>
      </c>
      <c r="B18" s="21">
        <v>13</v>
      </c>
      <c r="C18" s="21" t="str">
        <f t="shared" si="0"/>
        <v>0x000D</v>
      </c>
      <c r="D18" s="21" t="str">
        <f t="shared" si="1"/>
        <v>000001101</v>
      </c>
      <c r="E18" s="22" t="s">
        <v>40</v>
      </c>
      <c r="F18" s="21" t="str">
        <f t="shared" si="2"/>
        <v>vbDataObject</v>
      </c>
    </row>
    <row r="19" spans="1:6" x14ac:dyDescent="0.25">
      <c r="A19" s="21" t="s">
        <v>39</v>
      </c>
      <c r="B19" s="21">
        <v>14</v>
      </c>
      <c r="C19" s="21" t="str">
        <f t="shared" si="0"/>
        <v>0x000E</v>
      </c>
      <c r="D19" s="21" t="str">
        <f t="shared" si="1"/>
        <v>000001110</v>
      </c>
      <c r="E19" s="22" t="s">
        <v>38</v>
      </c>
      <c r="F19" s="21" t="str">
        <f t="shared" si="2"/>
        <v>vbDecimal</v>
      </c>
    </row>
    <row r="20" spans="1:6" x14ac:dyDescent="0.25">
      <c r="A20" s="21" t="s">
        <v>37</v>
      </c>
      <c r="B20" s="21">
        <v>17</v>
      </c>
      <c r="C20" s="21" t="str">
        <f t="shared" si="0"/>
        <v>0x0011</v>
      </c>
      <c r="D20" s="21" t="str">
        <f t="shared" si="1"/>
        <v>000010001</v>
      </c>
      <c r="E20" s="22" t="s">
        <v>36</v>
      </c>
      <c r="F20" s="21" t="str">
        <f t="shared" si="2"/>
        <v>vbByte</v>
      </c>
    </row>
    <row r="21" spans="1:6" x14ac:dyDescent="0.25">
      <c r="A21" s="21" t="s">
        <v>35</v>
      </c>
      <c r="B21" s="21">
        <v>20</v>
      </c>
      <c r="C21" s="21" t="str">
        <f t="shared" si="0"/>
        <v>0x0014</v>
      </c>
      <c r="D21" s="21" t="str">
        <f t="shared" si="1"/>
        <v>000010100</v>
      </c>
      <c r="E21" s="22" t="s">
        <v>34</v>
      </c>
      <c r="F21" s="21" t="str">
        <f t="shared" si="2"/>
        <v>vbLongLong</v>
      </c>
    </row>
    <row r="22" spans="1:6" x14ac:dyDescent="0.25">
      <c r="A22" s="23"/>
      <c r="B22" s="23"/>
      <c r="C22" s="23" t="str">
        <f t="shared" si="0"/>
        <v/>
      </c>
      <c r="D22" s="23" t="str">
        <f t="shared" si="1"/>
        <v/>
      </c>
      <c r="E22" s="24"/>
      <c r="F22" s="23" t="str">
        <f t="shared" si="2"/>
        <v/>
      </c>
    </row>
    <row r="23" spans="1:6" x14ac:dyDescent="0.25">
      <c r="A23" s="21" t="s">
        <v>33</v>
      </c>
      <c r="B23" s="21">
        <v>36</v>
      </c>
      <c r="C23" s="21" t="str">
        <f t="shared" si="0"/>
        <v>0x0024</v>
      </c>
      <c r="D23" s="21" t="str">
        <f t="shared" si="1"/>
        <v>000100100</v>
      </c>
      <c r="E23" s="22" t="s">
        <v>32</v>
      </c>
      <c r="F23" s="21" t="str">
        <f t="shared" si="2"/>
        <v>vbUserDefinedType</v>
      </c>
    </row>
    <row r="24" spans="1:6" x14ac:dyDescent="0.25">
      <c r="A24" s="21" t="s">
        <v>31</v>
      </c>
      <c r="B24" s="21">
        <v>8192</v>
      </c>
      <c r="C24" s="21" t="str">
        <f t="shared" si="0"/>
        <v>0x2000</v>
      </c>
      <c r="D24" s="21" t="e">
        <f t="shared" si="1"/>
        <v>#NUM!</v>
      </c>
      <c r="E24" s="22" t="s">
        <v>30</v>
      </c>
      <c r="F24" s="21" t="str">
        <f t="shared" si="2"/>
        <v>vbArray</v>
      </c>
    </row>
    <row r="26" spans="1:6" x14ac:dyDescent="0.25">
      <c r="F26" s="20" t="str">
        <f>VLOOKUP(2,VariantSubtypeConstants_ByDecValue_Details,MATCH("VBA Constant Name",VariantSubtypeConstants_ByDecValue_Labels,0),FALSE)</f>
        <v>vbInteger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Index</vt:lpstr>
      <vt:lpstr>Index of Named Ranges</vt:lpstr>
      <vt:lpstr>P6CXlsLib4 Demonstrations</vt:lpstr>
      <vt:lpstr>AnyCSV Test Cases</vt:lpstr>
      <vt:lpstr>Variant Subtype Constants</vt:lpstr>
      <vt:lpstr>__Workbook_Index</vt:lpstr>
      <vt:lpstr>Demonstration_Range_Name</vt:lpstr>
      <vt:lpstr>LastNonBlankCellAbove_Demonstration</vt:lpstr>
      <vt:lpstr>m_MiscFunctions__Demonstrations</vt:lpstr>
      <vt:lpstr>VariantSubtypeConstants_ByDecValue_Details</vt:lpstr>
      <vt:lpstr>VariantSubtypeConstants_ByDecValue_Labels</vt:lpstr>
      <vt:lpstr>VariantSubtypeConstants_ByHexValue_Details</vt:lpstr>
      <vt:lpstr>VariantSubtypeConstants_ByHexValue_Labels</vt:lpstr>
      <vt:lpstr>VariantSubtypeConstants_BySymbolName_Details</vt:lpstr>
      <vt:lpstr>VariantSubtypeConstants_BySymbolName_Labels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P6 Consulting Worksheet Function Library 4 for Microsoft Excel 2010</dc:title>
  <dc:subject>P6CExcelWorksheetFunctionLibrary4</dc:subject>
  <dc:creator>David A. Gray</dc:creator>
  <cp:lastModifiedBy>David A. Gray</cp:lastModifiedBy>
  <dcterms:created xsi:type="dcterms:W3CDTF">2015-01-07T08:51:42Z</dcterms:created>
  <dcterms:modified xsi:type="dcterms:W3CDTF">2019-08-12T01:15:33Z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0cc9bee3-0433-45f1-a9e6-9397e40dc7dd</vt:lpwstr>
  </property>
</Properties>
</file>