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270" windowWidth="14640" windowHeight="7935" firstSheet="7" activeTab="9"/>
  </bookViews>
  <sheets>
    <sheet name="Index" sheetId="4" r:id="rId1"/>
    <sheet name="_Index of Named Ranges" sheetId="3" r:id="rId2"/>
    <sheet name="Check List" sheetId="1" r:id="rId3"/>
    <sheet name="AnyCSV Character Constants" sheetId="10" r:id="rId4"/>
    <sheet name="AnyCSV Resource Strings" sheetId="8" r:id="rId5"/>
    <sheet name="Formats for Equals and ToString" sheetId="9" r:id="rId6"/>
    <sheet name="Inventory_WizardWrx_DLLServices" sheetId="2" r:id="rId7"/>
    <sheet name="Inventory_VisualBasic Scripts" sheetId="5" r:id="rId8"/>
    <sheet name="AssemblyPropertyViewer Interfac" sheetId="7" r:id="rId9"/>
    <sheet name="AnyCSV Test Cases" sheetId="6" r:id="rId10"/>
    <sheet name="GUID Dictionary" sheetId="11" r:id="rId11"/>
    <sheet name="Inventory VBA Module" sheetId="12" r:id="rId12"/>
    <sheet name="Variant Subtype Constants" sheetId="13" r:id="rId13"/>
  </sheets>
  <functionGroups builtInGroupCount="17"/>
  <externalReferences>
    <externalReference r:id="rId14"/>
  </externalReferences>
  <definedNames>
    <definedName name="__Workbook_Index">Index!$A$1:$A$12</definedName>
    <definedName name="Character_Type">'Formats for Equals and ToString'!$A$4:$A$9</definedName>
    <definedName name="Character_Type_Prefix_Labels">'Formats for Equals and ToString'!$A$3:$D$3</definedName>
    <definedName name="Character_Type_Prefix_Values">'Formats for Equals and ToString'!$A$4:$D$9</definedName>
    <definedName name="EQUALS_TEMPLATE">'Formats for Equals and ToString'!$K$9</definedName>
    <definedName name="GUIDs">'GUID Dictionary'!$B$1:$B$11</definedName>
    <definedName name="Managed_Resource_String_Property_Labels">'AnyCSV Resource Strings'!$A$1:$C$1</definedName>
    <definedName name="Managed_Resource_String_Property_Values">'AnyCSV Resource Strings'!$A$2:$C$16</definedName>
    <definedName name="Maxium_Property_Label_Length" localSheetId="5">'Formats for Equals and ToString'!$G$11</definedName>
    <definedName name="Newest_DllServices_Config">Inventory_WizardWrx_DLLServices!$D$2</definedName>
    <definedName name="Newline_Format_Item_Index" localSheetId="5">'Formats for Equals and ToString'!$E$11</definedName>
    <definedName name="Property_Item_Indices" localSheetId="5">'Formats for Equals and ToString'!$E$4:$E$9</definedName>
    <definedName name="Property_Label_Lengths" localSheetId="5">'Formats for Equals and ToString'!$G$2:$G$10</definedName>
    <definedName name="Status_Choices">'Check List'!$A$2:$A$4</definedName>
    <definedName name="Task_Notes_Directory">'Check List'!$E$3</definedName>
    <definedName name="Task_Notes_File">'Check List'!$E$3</definedName>
    <definedName name="TOSTRING_TEMPLATE">'Formats for Equals and ToString'!$I$9</definedName>
    <definedName name="VariantSubtypeConstants_ByDecValue_Details">'Variant Subtype Constants'!$B$2:$F$24</definedName>
    <definedName name="VariantSubtypeConstants_ByDecValue_Labels">'Variant Subtype Constants'!$B$1:$F$1</definedName>
    <definedName name="VariantSubtypeConstants_ByHexValue_Details">'Variant Subtype Constants'!$C$2:$F$24</definedName>
    <definedName name="VariantSubtypeConstants_ByHexValue_Labels">'Variant Subtype Constants'!$C$1:$F$1</definedName>
    <definedName name="VariantSubtypeConstants_BySymbolName_Details">'Variant Subtype Constants'!$A$2:$E$24</definedName>
    <definedName name="VariantSubtypeConstants_BySymbolName_Labels">'Variant Subtype Constants'!$A$1:$E$1</definedName>
  </definedNames>
  <calcPr calcId="145621"/>
</workbook>
</file>

<file path=xl/calcChain.xml><?xml version="1.0" encoding="utf-8"?>
<calcChain xmlns="http://schemas.openxmlformats.org/spreadsheetml/2006/main">
  <c r="E2" i="6" l="1"/>
  <c r="F2" i="6" s="1"/>
  <c r="G2" i="6" s="1"/>
  <c r="H2" i="6" s="1"/>
  <c r="I2" i="6" s="1"/>
  <c r="J2" i="6" s="1"/>
  <c r="K2" i="6" s="1"/>
  <c r="L2" i="6" s="1"/>
  <c r="M2" i="6" s="1"/>
  <c r="N2" i="6" s="1"/>
  <c r="O2" i="6" s="1"/>
  <c r="D2" i="6"/>
  <c r="F26" i="13"/>
  <c r="C10" i="6"/>
  <c r="C6" i="6"/>
  <c r="C11" i="6"/>
  <c r="C7" i="6"/>
  <c r="C3" i="6"/>
  <c r="C12" i="6"/>
  <c r="C8" i="6"/>
  <c r="C4" i="6"/>
  <c r="C9" i="6"/>
  <c r="C5" i="6"/>
  <c r="O10" i="6"/>
  <c r="O6" i="6"/>
  <c r="O11" i="6"/>
  <c r="O7" i="6"/>
  <c r="O3" i="6"/>
  <c r="N9" i="6"/>
  <c r="N5" i="6"/>
  <c r="N8" i="6"/>
  <c r="N4" i="6"/>
  <c r="M5" i="6"/>
  <c r="M8" i="6"/>
  <c r="L9" i="6"/>
  <c r="L12" i="6"/>
  <c r="K9" i="6"/>
  <c r="K12" i="6"/>
  <c r="K4" i="6"/>
  <c r="J5" i="6"/>
  <c r="J8" i="6"/>
  <c r="I10" i="6"/>
  <c r="I11" i="6"/>
  <c r="E12" i="6"/>
  <c r="G11" i="6"/>
  <c r="E10" i="6"/>
  <c r="G9" i="6"/>
  <c r="D9" i="6"/>
  <c r="F8" i="6"/>
  <c r="H7" i="6"/>
  <c r="E6" i="6"/>
  <c r="H5" i="6"/>
  <c r="E4" i="6"/>
  <c r="H3" i="6"/>
  <c r="O12" i="6"/>
  <c r="O8" i="6"/>
  <c r="O4" i="6"/>
  <c r="O9" i="6"/>
  <c r="O5" i="6"/>
  <c r="N11" i="6"/>
  <c r="N7" i="6"/>
  <c r="N3" i="6"/>
  <c r="N10" i="6"/>
  <c r="N6" i="6"/>
  <c r="M11" i="6"/>
  <c r="M7" i="6"/>
  <c r="M3" i="6"/>
  <c r="M10" i="6"/>
  <c r="M6" i="6"/>
  <c r="L11" i="6"/>
  <c r="L7" i="6"/>
  <c r="L3" i="6"/>
  <c r="L10" i="6"/>
  <c r="L6" i="6"/>
  <c r="K11" i="6"/>
  <c r="K7" i="6"/>
  <c r="K3" i="6"/>
  <c r="K10" i="6"/>
  <c r="K6" i="6"/>
  <c r="J11" i="6"/>
  <c r="J7" i="6"/>
  <c r="J3" i="6"/>
  <c r="J10" i="6"/>
  <c r="J6" i="6"/>
  <c r="I12" i="6"/>
  <c r="I8" i="6"/>
  <c r="I4" i="6"/>
  <c r="I9" i="6"/>
  <c r="I5" i="6"/>
  <c r="G12" i="6"/>
  <c r="H12" i="6"/>
  <c r="D12" i="6"/>
  <c r="E11" i="6"/>
  <c r="F11" i="6"/>
  <c r="G10" i="6"/>
  <c r="H10" i="6"/>
  <c r="D10" i="6"/>
  <c r="E9" i="6"/>
  <c r="F9" i="6"/>
  <c r="G8" i="6"/>
  <c r="H8" i="6"/>
  <c r="D8" i="6"/>
  <c r="E7" i="6"/>
  <c r="F7" i="6"/>
  <c r="G6" i="6"/>
  <c r="H6" i="6"/>
  <c r="D6" i="6"/>
  <c r="E5" i="6"/>
  <c r="F5" i="6"/>
  <c r="G4" i="6"/>
  <c r="H4" i="6"/>
  <c r="D4" i="6"/>
  <c r="G3" i="6"/>
  <c r="E3" i="6"/>
  <c r="N12" i="6"/>
  <c r="M9" i="6"/>
  <c r="M12" i="6"/>
  <c r="M4" i="6"/>
  <c r="L5" i="6"/>
  <c r="L8" i="6"/>
  <c r="L4" i="6"/>
  <c r="K5" i="6"/>
  <c r="K8" i="6"/>
  <c r="J9" i="6"/>
  <c r="J12" i="6"/>
  <c r="J4" i="6"/>
  <c r="I6" i="6"/>
  <c r="I7" i="6"/>
  <c r="I3" i="6"/>
  <c r="F12" i="6"/>
  <c r="H11" i="6"/>
  <c r="D11" i="6"/>
  <c r="F10" i="6"/>
  <c r="H9" i="6"/>
  <c r="E8" i="6"/>
  <c r="G7" i="6"/>
  <c r="D7" i="6"/>
  <c r="F6" i="6"/>
  <c r="G5" i="6"/>
  <c r="D5" i="6"/>
  <c r="F4" i="6"/>
  <c r="F3" i="6"/>
  <c r="D3" i="6"/>
  <c r="F24" i="13" l="1"/>
  <c r="D24" i="13"/>
  <c r="C24" i="13"/>
  <c r="F23" i="13"/>
  <c r="D23" i="13"/>
  <c r="C23" i="13"/>
  <c r="F22" i="13"/>
  <c r="D22" i="13"/>
  <c r="C22" i="13"/>
  <c r="F21" i="13"/>
  <c r="D21" i="13"/>
  <c r="C21" i="13"/>
  <c r="F20" i="13"/>
  <c r="D20" i="13"/>
  <c r="C20" i="13"/>
  <c r="F19" i="13"/>
  <c r="D19" i="13"/>
  <c r="C19" i="13"/>
  <c r="F18" i="13"/>
  <c r="D18" i="13"/>
  <c r="C18" i="13"/>
  <c r="F17" i="13"/>
  <c r="D17" i="13"/>
  <c r="C17" i="13"/>
  <c r="F16" i="13"/>
  <c r="D16" i="13"/>
  <c r="C16" i="13"/>
  <c r="F15" i="13"/>
  <c r="D15" i="13"/>
  <c r="C15" i="13"/>
  <c r="F14" i="13"/>
  <c r="D14" i="13"/>
  <c r="C14" i="13"/>
  <c r="F13" i="13"/>
  <c r="D13" i="13"/>
  <c r="C13" i="13"/>
  <c r="F12" i="13"/>
  <c r="D12" i="13"/>
  <c r="C12" i="13"/>
  <c r="F11" i="13"/>
  <c r="D11" i="13"/>
  <c r="C11" i="13"/>
  <c r="F10" i="13"/>
  <c r="D10" i="13"/>
  <c r="C10" i="13"/>
  <c r="F9" i="13"/>
  <c r="D9" i="13"/>
  <c r="C9" i="13"/>
  <c r="F8" i="13"/>
  <c r="D8" i="13"/>
  <c r="C8" i="13"/>
  <c r="F7" i="13"/>
  <c r="D7" i="13"/>
  <c r="C7" i="13"/>
  <c r="F6" i="13"/>
  <c r="D6" i="13"/>
  <c r="C6" i="13"/>
  <c r="F5" i="13"/>
  <c r="D5" i="13"/>
  <c r="C5" i="13"/>
  <c r="F4" i="13"/>
  <c r="D4" i="13"/>
  <c r="C4" i="13"/>
  <c r="F3" i="13"/>
  <c r="D3" i="13"/>
  <c r="C3" i="13"/>
  <c r="F2" i="13"/>
  <c r="D2" i="13"/>
  <c r="C2" i="13"/>
  <c r="F10" i="12" l="1"/>
  <c r="E10" i="12"/>
  <c r="C10" i="12"/>
  <c r="B10" i="12"/>
  <c r="F9" i="12"/>
  <c r="E9" i="12"/>
  <c r="C9" i="12"/>
  <c r="B9" i="12"/>
  <c r="F8" i="12"/>
  <c r="E8" i="12"/>
  <c r="C8" i="12"/>
  <c r="B8" i="12"/>
  <c r="F7" i="12"/>
  <c r="E7" i="12"/>
  <c r="C7" i="12"/>
  <c r="B7" i="12"/>
  <c r="F6" i="12"/>
  <c r="E6" i="12"/>
  <c r="C6" i="12"/>
  <c r="B6" i="12"/>
  <c r="C4" i="12"/>
  <c r="E5" i="12"/>
  <c r="B4" i="12"/>
  <c r="F4" i="12"/>
  <c r="B5" i="12"/>
  <c r="F5" i="12"/>
  <c r="C5" i="12"/>
  <c r="E4" i="12"/>
  <c r="H20" i="10" l="1"/>
  <c r="H19" i="10"/>
  <c r="L20" i="10"/>
  <c r="K20" i="10"/>
  <c r="L19" i="10"/>
  <c r="K19" i="10"/>
  <c r="I20" i="10"/>
  <c r="I19" i="10"/>
  <c r="J20" i="10"/>
  <c r="J19" i="10"/>
  <c r="J5" i="10"/>
  <c r="J6" i="10" s="1"/>
  <c r="J7" i="10" s="1"/>
  <c r="J8" i="10" s="1"/>
  <c r="J9" i="10" s="1"/>
  <c r="J10" i="10" s="1"/>
  <c r="J11" i="10" s="1"/>
  <c r="J12" i="10" s="1"/>
  <c r="J13" i="10" s="1"/>
  <c r="J14" i="10" s="1"/>
  <c r="J15" i="10" s="1"/>
  <c r="J16" i="10" s="1"/>
  <c r="J17" i="10" s="1"/>
  <c r="J18" i="10" s="1"/>
  <c r="J4" i="10"/>
  <c r="J3" i="10"/>
  <c r="E3" i="12"/>
  <c r="F2" i="12"/>
  <c r="B3" i="12"/>
  <c r="E2" i="12"/>
  <c r="F3" i="12"/>
  <c r="C2" i="12"/>
  <c r="C3" i="12"/>
  <c r="B2" i="12"/>
  <c r="K5" i="9" l="1"/>
  <c r="K6" i="9" s="1"/>
  <c r="K7" i="9" s="1"/>
  <c r="K8" i="9" s="1"/>
  <c r="K9" i="9" s="1"/>
  <c r="K4" i="9"/>
  <c r="G9" i="9"/>
  <c r="J8" i="9"/>
  <c r="J7" i="9"/>
  <c r="J6" i="9"/>
  <c r="J5" i="9"/>
  <c r="G6" i="9"/>
  <c r="F9" i="9"/>
  <c r="F8" i="9"/>
  <c r="F7" i="9"/>
  <c r="G7" i="9" s="1"/>
  <c r="F6" i="9"/>
  <c r="K3" i="9"/>
  <c r="L4" i="10"/>
  <c r="A3" i="9"/>
  <c r="D9" i="9"/>
  <c r="C9" i="9"/>
  <c r="D8" i="9"/>
  <c r="C8" i="9"/>
  <c r="D7" i="9"/>
  <c r="C7" i="9"/>
  <c r="D6" i="9"/>
  <c r="C6" i="9"/>
  <c r="D5" i="9"/>
  <c r="C5" i="9"/>
  <c r="D4" i="9"/>
  <c r="C4" i="9"/>
  <c r="D3" i="9"/>
  <c r="C3" i="9"/>
  <c r="B3" i="9"/>
  <c r="K18" i="10"/>
  <c r="K17" i="10"/>
  <c r="K16" i="10"/>
  <c r="K15" i="10"/>
  <c r="K14" i="10"/>
  <c r="K13" i="10"/>
  <c r="K12" i="10"/>
  <c r="K11" i="10"/>
  <c r="K10" i="10"/>
  <c r="K9" i="10"/>
  <c r="K8" i="10"/>
  <c r="K7" i="10"/>
  <c r="K6" i="10"/>
  <c r="K5" i="10"/>
  <c r="K4" i="10"/>
  <c r="K3" i="10"/>
  <c r="L18" i="10"/>
  <c r="I18" i="10"/>
  <c r="H18" i="10"/>
  <c r="G18" i="10"/>
  <c r="L17" i="10"/>
  <c r="I17" i="10"/>
  <c r="H17" i="10"/>
  <c r="G17" i="10"/>
  <c r="H12" i="10"/>
  <c r="I12" i="10"/>
  <c r="I3" i="10"/>
  <c r="H3" i="10"/>
  <c r="L16" i="10"/>
  <c r="L13" i="10"/>
  <c r="M13" i="10" s="1"/>
  <c r="L15" i="10"/>
  <c r="L14" i="10"/>
  <c r="N14" i="10" s="1"/>
  <c r="L11" i="10"/>
  <c r="L10" i="10"/>
  <c r="M10" i="10" s="1"/>
  <c r="L9" i="10"/>
  <c r="M9" i="10" s="1"/>
  <c r="L8" i="10"/>
  <c r="M8" i="10" s="1"/>
  <c r="L7" i="10"/>
  <c r="L6" i="10"/>
  <c r="M6" i="10" s="1"/>
  <c r="L5" i="10"/>
  <c r="M5" i="10" s="1"/>
  <c r="M4" i="10"/>
  <c r="I16" i="10"/>
  <c r="H16" i="10"/>
  <c r="G16" i="10"/>
  <c r="G13" i="10"/>
  <c r="G15" i="10"/>
  <c r="G14" i="10"/>
  <c r="G10" i="10"/>
  <c r="G7" i="10"/>
  <c r="G5" i="10"/>
  <c r="G9" i="10"/>
  <c r="G8" i="10"/>
  <c r="G11" i="10"/>
  <c r="G6" i="10"/>
  <c r="G4" i="10"/>
  <c r="I13" i="10"/>
  <c r="I15" i="10"/>
  <c r="I14" i="10"/>
  <c r="I10" i="10"/>
  <c r="I7" i="10"/>
  <c r="I5" i="10"/>
  <c r="I9" i="10"/>
  <c r="I8" i="10"/>
  <c r="I11" i="10"/>
  <c r="I6" i="10"/>
  <c r="I4" i="10"/>
  <c r="H13" i="10"/>
  <c r="H15" i="10"/>
  <c r="H14" i="10"/>
  <c r="H10" i="10"/>
  <c r="H7" i="10"/>
  <c r="H5" i="10"/>
  <c r="H9" i="10"/>
  <c r="H8" i="10"/>
  <c r="H11" i="10"/>
  <c r="H6" i="10"/>
  <c r="H4" i="10"/>
  <c r="M15" i="10"/>
  <c r="M11" i="10"/>
  <c r="M7" i="10"/>
  <c r="C8" i="10"/>
  <c r="G8" i="9"/>
  <c r="G5" i="9"/>
  <c r="G4" i="9"/>
  <c r="E4" i="9" s="1"/>
  <c r="G11" i="9" l="1"/>
  <c r="E6" i="9"/>
  <c r="J4" i="9"/>
  <c r="E5" i="9"/>
  <c r="N6" i="10"/>
  <c r="N5" i="10"/>
  <c r="N8" i="10"/>
  <c r="N10" i="10"/>
  <c r="N4" i="10"/>
  <c r="N11" i="10"/>
  <c r="N9" i="10"/>
  <c r="N7" i="10"/>
  <c r="N13" i="10"/>
  <c r="N15" i="10"/>
  <c r="M14" i="10"/>
  <c r="A3" i="6"/>
  <c r="A4" i="6" s="1"/>
  <c r="A5" i="6" s="1"/>
  <c r="A6" i="6" s="1"/>
  <c r="A7" i="6" s="1"/>
  <c r="A8" i="6" s="1"/>
  <c r="A9" i="6" s="1"/>
  <c r="A10" i="6" s="1"/>
  <c r="A11" i="6" s="1"/>
  <c r="A12" i="6" s="1"/>
  <c r="E7" i="9" l="1"/>
  <c r="E8" i="9" s="1"/>
  <c r="E9" i="9" s="1"/>
  <c r="J9" i="9" s="1"/>
  <c r="E11" i="9"/>
  <c r="H4" i="9" s="1"/>
  <c r="I4" i="9" s="1"/>
  <c r="D2" i="3"/>
  <c r="E2" i="3"/>
  <c r="D3" i="3"/>
  <c r="E3" i="3"/>
  <c r="D4" i="3"/>
  <c r="E4" i="3"/>
  <c r="D5" i="3"/>
  <c r="E5" i="3"/>
  <c r="D6" i="3"/>
  <c r="E6" i="3"/>
  <c r="D7" i="3"/>
  <c r="E7" i="3"/>
  <c r="D8" i="3"/>
  <c r="E8" i="3"/>
  <c r="D9" i="3"/>
  <c r="E9" i="3"/>
  <c r="D10" i="3"/>
  <c r="E10" i="3"/>
  <c r="D11" i="3"/>
  <c r="E11" i="3"/>
  <c r="D12" i="3"/>
  <c r="E12" i="3"/>
  <c r="D13" i="3"/>
  <c r="E13" i="3"/>
  <c r="D14" i="3"/>
  <c r="E14" i="3"/>
  <c r="D15" i="3"/>
  <c r="E15" i="3"/>
  <c r="D16" i="3"/>
  <c r="E16" i="3"/>
  <c r="D17" i="3"/>
  <c r="E17" i="3"/>
  <c r="D18" i="3"/>
  <c r="E18" i="3"/>
  <c r="D19" i="3"/>
  <c r="E19" i="3"/>
  <c r="D20" i="3"/>
  <c r="E20" i="3"/>
  <c r="C21" i="3"/>
  <c r="D21" i="3"/>
  <c r="E21" i="3"/>
  <c r="F21" i="3"/>
  <c r="G21" i="3"/>
  <c r="H21" i="3"/>
  <c r="C22" i="3"/>
  <c r="D22" i="3"/>
  <c r="E22" i="3"/>
  <c r="F22" i="3"/>
  <c r="G22" i="3"/>
  <c r="H22" i="3"/>
  <c r="C18" i="3"/>
  <c r="G9" i="3"/>
  <c r="G17" i="3"/>
  <c r="C16" i="3"/>
  <c r="C12" i="3"/>
  <c r="G15" i="3"/>
  <c r="F9" i="3"/>
  <c r="G6" i="3"/>
  <c r="C8" i="3"/>
  <c r="F18" i="3"/>
  <c r="F19" i="3"/>
  <c r="C15" i="3"/>
  <c r="F6" i="3"/>
  <c r="F17" i="3"/>
  <c r="G12" i="3"/>
  <c r="C19" i="3"/>
  <c r="G7" i="3"/>
  <c r="F7" i="3"/>
  <c r="F14" i="3"/>
  <c r="G8" i="3"/>
  <c r="F16" i="3"/>
  <c r="C10" i="3"/>
  <c r="C20" i="3"/>
  <c r="G20" i="3"/>
  <c r="F15" i="3"/>
  <c r="F13" i="3"/>
  <c r="G13" i="3"/>
  <c r="C9" i="3"/>
  <c r="F11" i="3"/>
  <c r="G14" i="3"/>
  <c r="F10" i="3"/>
  <c r="C11" i="3"/>
  <c r="G19" i="3"/>
  <c r="G11" i="3"/>
  <c r="G18" i="3"/>
  <c r="G16" i="3"/>
  <c r="C17" i="3"/>
  <c r="G10" i="3"/>
  <c r="F12" i="3"/>
  <c r="C7" i="3"/>
  <c r="F20" i="3"/>
  <c r="F8" i="3"/>
  <c r="H20" i="3" l="1"/>
  <c r="H19" i="3"/>
  <c r="H18" i="3"/>
  <c r="H17" i="3"/>
  <c r="H16" i="3"/>
  <c r="H15" i="3"/>
  <c r="H7" i="9"/>
  <c r="H6" i="9"/>
  <c r="H5" i="9"/>
  <c r="I5" i="9" s="1"/>
  <c r="I6" i="9" s="1"/>
  <c r="I7" i="9" s="1"/>
  <c r="H8" i="9"/>
  <c r="H9" i="9"/>
  <c r="H14" i="3"/>
  <c r="H13" i="3"/>
  <c r="H12" i="3"/>
  <c r="H11" i="3"/>
  <c r="H10" i="3"/>
  <c r="H9" i="3"/>
  <c r="H8" i="3"/>
  <c r="H7" i="3"/>
  <c r="H6" i="3"/>
  <c r="A8" i="1"/>
  <c r="A9" i="1" s="1"/>
  <c r="A10" i="1" s="1"/>
  <c r="A11" i="1" s="1"/>
  <c r="A12" i="1" s="1"/>
  <c r="A7" i="1"/>
  <c r="B16" i="8"/>
  <c r="C6" i="3"/>
  <c r="I8" i="9" l="1"/>
  <c r="I9" i="9" s="1"/>
  <c r="C14" i="3"/>
  <c r="C224" i="5" l="1"/>
  <c r="C48" i="5"/>
  <c r="C58" i="5"/>
  <c r="C61" i="5"/>
  <c r="C17" i="5"/>
  <c r="C220" i="5"/>
  <c r="C67" i="5"/>
  <c r="B115" i="2"/>
  <c r="C12" i="5"/>
  <c r="C208" i="5"/>
  <c r="C34" i="5"/>
  <c r="B79" i="5"/>
  <c r="C27" i="5"/>
  <c r="C116" i="5"/>
  <c r="C43" i="5"/>
  <c r="C118" i="5"/>
  <c r="C167" i="5"/>
  <c r="B144" i="5"/>
  <c r="B117" i="5"/>
  <c r="C193" i="5"/>
  <c r="C11" i="5"/>
  <c r="C64" i="5"/>
  <c r="B56" i="5"/>
  <c r="B72" i="2"/>
  <c r="B27" i="5"/>
  <c r="B166" i="5"/>
  <c r="B101" i="5"/>
  <c r="B41" i="5"/>
  <c r="B85" i="5"/>
  <c r="C59" i="5"/>
  <c r="C38" i="5"/>
  <c r="C160" i="5"/>
  <c r="C147" i="5"/>
  <c r="C145" i="5"/>
  <c r="B104" i="2"/>
  <c r="C186" i="5"/>
  <c r="C156" i="5"/>
  <c r="C115" i="5"/>
  <c r="C195" i="5"/>
  <c r="C5" i="3"/>
  <c r="B42" i="2"/>
  <c r="B143" i="5"/>
  <c r="B22" i="5"/>
  <c r="C44" i="5"/>
  <c r="B202" i="5"/>
  <c r="B67" i="2"/>
  <c r="C104" i="5"/>
  <c r="B222" i="5"/>
  <c r="C178" i="5"/>
  <c r="C70" i="5"/>
  <c r="C32" i="5"/>
  <c r="C56" i="5"/>
  <c r="C218" i="5"/>
  <c r="B35" i="2"/>
  <c r="C16" i="5"/>
  <c r="C94" i="5"/>
  <c r="B136" i="5"/>
  <c r="C8" i="5"/>
  <c r="B208" i="5"/>
  <c r="B181" i="5"/>
  <c r="B93" i="5"/>
  <c r="B9" i="2"/>
  <c r="C131" i="5"/>
  <c r="B192" i="5"/>
  <c r="C90" i="5"/>
  <c r="C45" i="5"/>
  <c r="C71" i="5"/>
  <c r="B84" i="5"/>
  <c r="B150" i="5"/>
  <c r="C72" i="5"/>
  <c r="C101" i="5"/>
  <c r="C130" i="5"/>
  <c r="C97" i="5"/>
  <c r="C172" i="5"/>
  <c r="C105" i="5"/>
  <c r="B172" i="5"/>
  <c r="B82" i="5"/>
  <c r="C201" i="5"/>
  <c r="C194" i="5"/>
  <c r="B182" i="5"/>
  <c r="B79" i="2"/>
  <c r="C219" i="5"/>
  <c r="C6" i="5"/>
  <c r="C103" i="5"/>
  <c r="G4" i="3"/>
  <c r="B170" i="5"/>
  <c r="B122" i="5"/>
  <c r="C54" i="5"/>
  <c r="C211" i="5"/>
  <c r="B184" i="5"/>
  <c r="C7" i="5"/>
  <c r="B138" i="5"/>
  <c r="F4" i="3"/>
  <c r="B67" i="5"/>
  <c r="C20" i="5"/>
  <c r="B82" i="2"/>
  <c r="B161" i="5"/>
  <c r="B204" i="5"/>
  <c r="B21" i="5"/>
  <c r="B157" i="5"/>
  <c r="C138" i="5"/>
  <c r="C78" i="5"/>
  <c r="C212" i="5"/>
  <c r="C13" i="3"/>
  <c r="C170" i="5"/>
  <c r="C203" i="5"/>
  <c r="C87" i="5"/>
  <c r="C73" i="5"/>
  <c r="C136" i="5"/>
  <c r="B218" i="5"/>
  <c r="B160" i="5"/>
  <c r="B95" i="5"/>
  <c r="B178" i="5"/>
  <c r="C213" i="5"/>
  <c r="C42" i="5"/>
  <c r="C176" i="5"/>
  <c r="B81" i="5"/>
  <c r="B80" i="5"/>
  <c r="C65" i="5"/>
  <c r="B154" i="5"/>
  <c r="C117" i="5"/>
  <c r="C206" i="5"/>
  <c r="B113" i="2"/>
  <c r="C207" i="5"/>
  <c r="B134" i="5"/>
  <c r="B216" i="5"/>
  <c r="C22" i="5"/>
  <c r="B149" i="5"/>
  <c r="C24" i="5"/>
  <c r="C26" i="5"/>
  <c r="C192" i="5"/>
  <c r="C84" i="5"/>
  <c r="C205" i="5"/>
  <c r="B142" i="5"/>
  <c r="B28" i="2"/>
  <c r="B116" i="2"/>
  <c r="C86" i="5"/>
  <c r="B70" i="5"/>
  <c r="B78" i="5"/>
  <c r="C51" i="5"/>
  <c r="B105" i="2"/>
  <c r="B120" i="5"/>
  <c r="C19" i="5"/>
  <c r="C196" i="5"/>
  <c r="C150" i="5"/>
  <c r="C93" i="5"/>
  <c r="B109" i="5"/>
  <c r="B37" i="2"/>
  <c r="C60" i="5"/>
  <c r="B141" i="5"/>
  <c r="B91" i="2"/>
  <c r="B224" i="5"/>
  <c r="B15" i="5"/>
  <c r="B2" i="2"/>
  <c r="B173" i="5"/>
  <c r="B10" i="2"/>
  <c r="C148" i="5"/>
  <c r="F3" i="3"/>
  <c r="B63" i="5"/>
  <c r="B99" i="2"/>
  <c r="C82" i="5"/>
  <c r="B14" i="2"/>
  <c r="C149" i="5"/>
  <c r="C151" i="5"/>
  <c r="B17" i="2"/>
  <c r="B31" i="2"/>
  <c r="C111" i="5"/>
  <c r="B97" i="2"/>
  <c r="B92" i="5"/>
  <c r="B215" i="5"/>
  <c r="C143" i="5"/>
  <c r="B68" i="2"/>
  <c r="C33" i="5"/>
  <c r="B62" i="5"/>
  <c r="C168" i="5"/>
  <c r="B159" i="5"/>
  <c r="B90" i="2"/>
  <c r="B87" i="2"/>
  <c r="B78" i="2"/>
  <c r="C189" i="5"/>
  <c r="C146" i="5"/>
  <c r="C140" i="5"/>
  <c r="B167" i="5"/>
  <c r="C18" i="5"/>
  <c r="B60" i="5"/>
  <c r="C188" i="5"/>
  <c r="B205" i="5"/>
  <c r="B146" i="5"/>
  <c r="B68" i="5"/>
  <c r="B188" i="5"/>
  <c r="C83" i="5"/>
  <c r="C92" i="5"/>
  <c r="C191" i="5"/>
  <c r="B62" i="2"/>
  <c r="B11" i="5"/>
  <c r="C204" i="5"/>
  <c r="B221" i="5"/>
  <c r="B54" i="2"/>
  <c r="B71" i="2"/>
  <c r="B49" i="2"/>
  <c r="B85" i="2"/>
  <c r="B165" i="5"/>
  <c r="C85" i="5"/>
  <c r="F5" i="3"/>
  <c r="C23" i="5"/>
  <c r="B131" i="5"/>
  <c r="B61" i="5"/>
  <c r="C209" i="5"/>
  <c r="C180" i="5"/>
  <c r="B74" i="2"/>
  <c r="B45" i="5"/>
  <c r="C31" i="5"/>
  <c r="B51" i="5"/>
  <c r="C144" i="5"/>
  <c r="C77" i="5"/>
  <c r="C171" i="5"/>
  <c r="C129" i="5"/>
  <c r="B4" i="2"/>
  <c r="C80" i="5"/>
  <c r="B34" i="2"/>
  <c r="B139" i="5"/>
  <c r="C109" i="5"/>
  <c r="C40" i="5"/>
  <c r="C62" i="5"/>
  <c r="C4" i="5"/>
  <c r="B29" i="2"/>
  <c r="C202" i="5"/>
  <c r="C4" i="3"/>
  <c r="B31" i="5"/>
  <c r="B108" i="5"/>
  <c r="C134" i="5"/>
  <c r="B60" i="2"/>
  <c r="B64" i="5"/>
  <c r="C46" i="5"/>
  <c r="B36" i="5"/>
  <c r="C68" i="5"/>
  <c r="B33" i="5"/>
  <c r="B58" i="2"/>
  <c r="B40" i="5"/>
  <c r="C79" i="5"/>
  <c r="B20" i="5"/>
  <c r="B77" i="2"/>
  <c r="C183" i="5"/>
  <c r="B121" i="2"/>
  <c r="C135" i="5"/>
  <c r="B76" i="5"/>
  <c r="B65" i="5"/>
  <c r="B94" i="5"/>
  <c r="C120" i="5"/>
  <c r="B111" i="2"/>
  <c r="C133" i="5"/>
  <c r="B155" i="5"/>
  <c r="B90" i="5"/>
  <c r="B16" i="5"/>
  <c r="C154" i="5"/>
  <c r="B26" i="5"/>
  <c r="B56" i="2"/>
  <c r="B129" i="5"/>
  <c r="B214" i="5"/>
  <c r="C159" i="5"/>
  <c r="C164" i="5"/>
  <c r="C126" i="5"/>
  <c r="G3" i="3"/>
  <c r="C2" i="3"/>
  <c r="B197" i="5"/>
  <c r="B12" i="2"/>
  <c r="B108" i="2"/>
  <c r="C153" i="5"/>
  <c r="C121" i="5"/>
  <c r="B17" i="5"/>
  <c r="B130" i="5"/>
  <c r="B169" i="5"/>
  <c r="C152" i="5"/>
  <c r="B174" i="5"/>
  <c r="C127" i="5"/>
  <c r="B193" i="5"/>
  <c r="B32" i="5"/>
  <c r="B210" i="5"/>
  <c r="C222" i="5"/>
  <c r="C122" i="5"/>
  <c r="C174" i="5"/>
  <c r="B12" i="5"/>
  <c r="C37" i="5"/>
  <c r="C106" i="5"/>
  <c r="B52" i="5"/>
  <c r="C14" i="5"/>
  <c r="C55" i="5"/>
  <c r="B44" i="2"/>
  <c r="B145" i="5"/>
  <c r="C47" i="5"/>
  <c r="B11" i="2"/>
  <c r="B47" i="5"/>
  <c r="B46" i="5"/>
  <c r="B200" i="5"/>
  <c r="B39" i="2"/>
  <c r="B123" i="2"/>
  <c r="B105" i="5"/>
  <c r="C52" i="5"/>
  <c r="B5" i="2"/>
  <c r="B14" i="5"/>
  <c r="B203" i="5"/>
  <c r="B88" i="2"/>
  <c r="B55" i="2"/>
  <c r="B40" i="2"/>
  <c r="B195" i="5"/>
  <c r="B61" i="2"/>
  <c r="B18" i="2"/>
  <c r="C36" i="5"/>
  <c r="B118" i="2"/>
  <c r="B30" i="2"/>
  <c r="B6" i="5"/>
  <c r="B47" i="2"/>
  <c r="B114" i="5"/>
  <c r="C141" i="5"/>
  <c r="B80" i="2"/>
  <c r="C96" i="5"/>
  <c r="B77" i="5"/>
  <c r="B13" i="2"/>
  <c r="C165" i="5"/>
  <c r="C173" i="5"/>
  <c r="C161" i="5"/>
  <c r="C50" i="5"/>
  <c r="B53" i="2"/>
  <c r="B112" i="5"/>
  <c r="B69" i="2"/>
  <c r="B96" i="5"/>
  <c r="C184" i="5"/>
  <c r="B171" i="5"/>
  <c r="C76" i="5"/>
  <c r="B38" i="5"/>
  <c r="C102" i="5"/>
  <c r="C199" i="5"/>
  <c r="C157" i="5"/>
  <c r="C198" i="5"/>
  <c r="B175" i="5"/>
  <c r="B121" i="5"/>
  <c r="C21" i="5"/>
  <c r="B190" i="5"/>
  <c r="B75" i="2"/>
  <c r="C99" i="5"/>
  <c r="B49" i="5"/>
  <c r="G2" i="3"/>
  <c r="B180" i="5"/>
  <c r="B72" i="5"/>
  <c r="C100" i="5"/>
  <c r="C214" i="5"/>
  <c r="C75" i="5"/>
  <c r="C221" i="5"/>
  <c r="C187" i="5"/>
  <c r="C3" i="5"/>
  <c r="C185" i="5"/>
  <c r="B206" i="5"/>
  <c r="B102" i="5"/>
  <c r="B223" i="5"/>
  <c r="B89" i="2"/>
  <c r="C25" i="5"/>
  <c r="C217" i="5"/>
  <c r="B101" i="2"/>
  <c r="C49" i="5"/>
  <c r="B152" i="5"/>
  <c r="C124" i="5"/>
  <c r="B109" i="2"/>
  <c r="C41" i="5"/>
  <c r="B48" i="2"/>
  <c r="B103" i="2"/>
  <c r="B153" i="5"/>
  <c r="B106" i="2"/>
  <c r="B25" i="2"/>
  <c r="B132" i="5"/>
  <c r="C142" i="5"/>
  <c r="B30" i="5"/>
  <c r="B151" i="5"/>
  <c r="B106" i="5"/>
  <c r="B119" i="2"/>
  <c r="B73" i="5"/>
  <c r="B116" i="5"/>
  <c r="B177" i="5"/>
  <c r="B32" i="2"/>
  <c r="B71" i="5"/>
  <c r="C197" i="5"/>
  <c r="B7" i="2"/>
  <c r="B209" i="5"/>
  <c r="B15" i="2"/>
  <c r="B107" i="5"/>
  <c r="B6" i="2"/>
  <c r="B189" i="5"/>
  <c r="B194" i="5"/>
  <c r="C113" i="5"/>
  <c r="C223" i="5"/>
  <c r="B110" i="2"/>
  <c r="B100" i="5"/>
  <c r="B123" i="5"/>
  <c r="B107" i="2"/>
  <c r="C81" i="5"/>
  <c r="B95" i="2"/>
  <c r="B27" i="2"/>
  <c r="B97" i="5"/>
  <c r="B63" i="2"/>
  <c r="B26" i="2"/>
  <c r="B42" i="5"/>
  <c r="C3" i="3"/>
  <c r="B41" i="2"/>
  <c r="B86" i="5"/>
  <c r="B75" i="5"/>
  <c r="B89" i="5"/>
  <c r="C74" i="5"/>
  <c r="B66" i="2"/>
  <c r="B115" i="5"/>
  <c r="B87" i="5"/>
  <c r="C123" i="5"/>
  <c r="B98" i="5"/>
  <c r="B83" i="2"/>
  <c r="B74" i="5"/>
  <c r="C182" i="5"/>
  <c r="C128" i="5"/>
  <c r="B13" i="5"/>
  <c r="B45" i="2"/>
  <c r="B15" i="8"/>
  <c r="B46" i="2"/>
  <c r="B43" i="5"/>
  <c r="C139" i="5"/>
  <c r="B147" i="5"/>
  <c r="B88" i="5"/>
  <c r="B211" i="5"/>
  <c r="C35" i="5"/>
  <c r="B113" i="5"/>
  <c r="C119" i="5"/>
  <c r="B103" i="5"/>
  <c r="C57" i="5"/>
  <c r="B183" i="5"/>
  <c r="B16" i="2"/>
  <c r="B81" i="2"/>
  <c r="B73" i="2"/>
  <c r="B196" i="5"/>
  <c r="B110" i="5"/>
  <c r="C155" i="5"/>
  <c r="B122" i="2"/>
  <c r="B125" i="5"/>
  <c r="B43" i="2"/>
  <c r="C190" i="5"/>
  <c r="B118" i="5"/>
  <c r="B39" i="5"/>
  <c r="B98" i="2"/>
  <c r="B65" i="2"/>
  <c r="B137" i="5"/>
  <c r="B28" i="5"/>
  <c r="C158" i="5"/>
  <c r="B96" i="2"/>
  <c r="B99" i="5"/>
  <c r="C108" i="5"/>
  <c r="B94" i="2"/>
  <c r="C69" i="5"/>
  <c r="B207" i="5"/>
  <c r="B54" i="5"/>
  <c r="B9" i="5"/>
  <c r="B124" i="5"/>
  <c r="B92" i="2"/>
  <c r="B3" i="5"/>
  <c r="B212" i="5"/>
  <c r="B104" i="5"/>
  <c r="B2" i="5"/>
  <c r="C210" i="5"/>
  <c r="B38" i="2"/>
  <c r="B187" i="5"/>
  <c r="B19" i="2"/>
  <c r="C215" i="5"/>
  <c r="B168" i="5"/>
  <c r="B34" i="5"/>
  <c r="B59" i="2"/>
  <c r="B140" i="5"/>
  <c r="B18" i="5"/>
  <c r="B55" i="5"/>
  <c r="C177" i="5"/>
  <c r="B10" i="5"/>
  <c r="C88" i="5"/>
  <c r="B48" i="5"/>
  <c r="C112" i="5"/>
  <c r="B24" i="2"/>
  <c r="B59" i="5"/>
  <c r="C9" i="5"/>
  <c r="C30" i="5"/>
  <c r="B7" i="5"/>
  <c r="C15" i="5"/>
  <c r="B219" i="5"/>
  <c r="C166" i="5"/>
  <c r="B119" i="5"/>
  <c r="B217" i="5"/>
  <c r="C98" i="5"/>
  <c r="C216" i="5"/>
  <c r="B102" i="2"/>
  <c r="B135" i="5"/>
  <c r="B5" i="5"/>
  <c r="C2" i="5"/>
  <c r="B44" i="5"/>
  <c r="B25" i="5"/>
  <c r="B35" i="5"/>
  <c r="C95" i="5"/>
  <c r="B19" i="5"/>
  <c r="B100" i="2"/>
  <c r="B52" i="2"/>
  <c r="B185" i="5"/>
  <c r="C162" i="5"/>
  <c r="B22" i="2"/>
  <c r="B201" i="5"/>
  <c r="C200" i="5"/>
  <c r="B29" i="5"/>
  <c r="C89" i="5"/>
  <c r="B86" i="2"/>
  <c r="C132" i="5"/>
  <c r="B179" i="5"/>
  <c r="G5" i="3"/>
  <c r="B220" i="5"/>
  <c r="C28" i="5"/>
  <c r="B66" i="5"/>
  <c r="B117" i="2"/>
  <c r="B4" i="5"/>
  <c r="B91" i="5"/>
  <c r="C169" i="5"/>
  <c r="B50" i="5"/>
  <c r="C10" i="5"/>
  <c r="C91" i="5"/>
  <c r="B126" i="5"/>
  <c r="B164" i="5"/>
  <c r="C137" i="5"/>
  <c r="B127" i="5"/>
  <c r="C175" i="5"/>
  <c r="C107" i="5"/>
  <c r="B76" i="2"/>
  <c r="B50" i="2"/>
  <c r="C125" i="5"/>
  <c r="C29" i="5"/>
  <c r="B53" i="5"/>
  <c r="F2" i="3"/>
  <c r="C63" i="5"/>
  <c r="B163" i="5"/>
  <c r="B191" i="5"/>
  <c r="B176" i="5"/>
  <c r="B69" i="5"/>
  <c r="B23" i="5"/>
  <c r="B156" i="5"/>
  <c r="B37" i="5"/>
  <c r="B64" i="2"/>
  <c r="B124" i="2"/>
  <c r="B70" i="2"/>
  <c r="C5" i="5"/>
  <c r="B8" i="2"/>
  <c r="B33" i="2"/>
  <c r="C179" i="5"/>
  <c r="B57" i="5"/>
  <c r="B133" i="5"/>
  <c r="B158" i="5"/>
  <c r="B23" i="2"/>
  <c r="B93" i="2"/>
  <c r="C114" i="5"/>
  <c r="C53" i="5"/>
  <c r="C163" i="5"/>
  <c r="C66" i="5"/>
  <c r="B8" i="5"/>
  <c r="C13" i="5"/>
  <c r="B51" i="2"/>
  <c r="C181" i="5"/>
  <c r="B199" i="5"/>
  <c r="B36" i="2"/>
  <c r="B128" i="5"/>
  <c r="C39" i="5"/>
  <c r="B58" i="5"/>
  <c r="B57" i="2"/>
  <c r="B20" i="2"/>
  <c r="B114" i="2"/>
  <c r="B3" i="2"/>
  <c r="B111" i="5"/>
  <c r="B21" i="2"/>
  <c r="B84" i="2"/>
  <c r="B198" i="5"/>
  <c r="B148" i="5"/>
  <c r="B24" i="5"/>
  <c r="C110" i="5"/>
  <c r="B186" i="5"/>
  <c r="B112" i="2"/>
  <c r="B213" i="5"/>
  <c r="B162" i="5"/>
  <c r="B83" i="5"/>
  <c r="B120" i="2"/>
  <c r="H2" i="3" l="1"/>
  <c r="H5" i="3"/>
  <c r="H3" i="3"/>
  <c r="H4" i="3"/>
</calcChain>
</file>

<file path=xl/sharedStrings.xml><?xml version="1.0" encoding="utf-8"?>
<sst xmlns="http://schemas.openxmlformats.org/spreadsheetml/2006/main" count="915" uniqueCount="704">
  <si>
    <t>Legend</t>
  </si>
  <si>
    <t>In Progress</t>
  </si>
  <si>
    <t>Ready to Test</t>
  </si>
  <si>
    <t>Done</t>
  </si>
  <si>
    <t>Step</t>
  </si>
  <si>
    <t>Name</t>
  </si>
  <si>
    <t>Action</t>
  </si>
  <si>
    <t>Reference</t>
  </si>
  <si>
    <t>Comment</t>
  </si>
  <si>
    <t>Status</t>
  </si>
  <si>
    <t>C:\Users\DAVE\Documents\Visual Studio 2013\Projects\WizardWrx_Libs\AnyCSV\NOTES\Development_Notes_4.0.TXT</t>
  </si>
  <si>
    <t>Task Notes Directory</t>
  </si>
  <si>
    <t>Task Notes File</t>
  </si>
  <si>
    <t>C:\Users\DAVE\Documents\Visual Studio 2013\Projects\WizardWrx_Libs\AnyCSV\NOTES\</t>
  </si>
  <si>
    <t>Register for COM Interop.</t>
  </si>
  <si>
    <t>Calling a .net library method from vba</t>
  </si>
  <si>
    <t>Add a reference to System.Runtime.InteropServices to the assembly references.</t>
  </si>
  <si>
    <t>Add a Using directive for System.Runtime.InteropServices to all classes.</t>
  </si>
  <si>
    <t>C:\UTIL\WizardWrx.DLLServices2.dll.config</t>
  </si>
  <si>
    <t>C:\Users\Public\Documents\NOLANB\_Installation_Packages\UTIL_Reference\WizardWrx.DLLServices2.dll.config</t>
  </si>
  <si>
    <t>C:\Users\Public\Documents\NOLANB\_Installation_Packages\Remote\2014\20141010\AI_PKG_400\WizardWrx.DLLServices2.dll.config</t>
  </si>
  <si>
    <t>C:\Users\Public\Documents\NOLANB\TASKS\_PTI_Gate_2016\UTIL_Rock_Hill\WizardWrx.DLLServices2.dll.config</t>
  </si>
  <si>
    <t>C:\Users\Public\Documents\NOLANB\TASKS\_EMV_Credit_Card_Processing\_Deliverables_Prep\UTIL_ZAPHOD42_20160309_085628\WizardWrx.DLLServices2.dll.config</t>
  </si>
  <si>
    <t>C:\Users\Public\Documents\NOLANB\TASKS\Corrupted_HO_Logbase\distribution\WizardWrx.DLLServices2.dll.config</t>
  </si>
  <si>
    <t>C:\Users\Public\Documents\H_DEASE\UTIL_from_ZAPHOD42\WizardWrx.DLLServices2.dll.config</t>
  </si>
  <si>
    <t>C:\Users\Public\Documents\H_DEASE\AI_PKG_400\WizardWrx.DLLServices2.dll.config</t>
  </si>
  <si>
    <t>C:\Users\DAVE\Documents\Visual Studio 2013\Projects\_Laboratory\TimeZoneLab\TimeZoneLab\bin\Release\WizardWrx.DLLServices2.dll.config</t>
  </si>
  <si>
    <t>C:\Users\DAVE\Documents\Visual Studio 2013\Projects\_Laboratory\TimeZoneLab\TimeZoneLab\bin\Debug\WizardWrx.DLLServices2.dll.config</t>
  </si>
  <si>
    <t>C:\Users\DAVE\Documents\Visual Studio 2013\Projects\_Laboratory\TimeZoneLab\TimeZoneLab\WizardWrx.DLLServices2.dll.config</t>
  </si>
  <si>
    <t>C:\Users\DAVE\Documents\Visual Studio 2013\Projects\_Laboratory\CSharp_Lab\CSharp_Lab\bin\x86\Debug\WizardWrx.DLLServices2.dll.config</t>
  </si>
  <si>
    <t>C:\Users\DAVE\Documents\Visual Studio 2013\Projects\_Laboratory\CSharp_Lab\CSharp_Lab\bin\Debug\WizardWrx.DLLServices2.dll.config</t>
  </si>
  <si>
    <t>C:\Users\DAVE\Documents\Visual Studio 2013\Projects\_Laboratory\CSharp_Lab\bin\x86\Debug\WizardWrx.DLLServices2.dll.config</t>
  </si>
  <si>
    <t>C:\Users\DAVE\Documents\Visual Studio 2013\Projects\_Laboratory\CSharp_Lab\bin\Debug\WizardWrx.DLLServices2.dll.config</t>
  </si>
  <si>
    <t>C:\Users\DAVE\Documents\Visual Studio 2013\Projects\_Laboratory\ConsoleOutputSpeedTest\ConsoleOutputSpeedTest\bin\Debug\WizardWrx.DLLServices2.dll.config</t>
  </si>
  <si>
    <t>C:\Users\DAVE\Documents\Visual Studio 2013\Projects\WizardWrx_Libs\_Deprecated_Libraries\ApplicationHelpers3\TestStand\bin\Release\WizardWrx.DLLServices2.dll.config</t>
  </si>
  <si>
    <t>C:\Users\DAVE\Documents\Visual Studio 2013\Projects\WizardWrx_Libs\_Deprecated_Libraries\ApplicationHelpers3\TestStand\bin\Debug\WizardWrx.DLLServices2.dll.config</t>
  </si>
  <si>
    <t>C:\Users\DAVE\Documents\Visual Studio 2013\Projects\WizardWrx_Libs\_Deprecated_Libraries\ApplicationHelpers3\TestStand\WizardWrx.DLLServices2.dll.config</t>
  </si>
  <si>
    <t>C:\Users\DAVE\Documents\Visual Studio 2013\Projects\WizardWrx_Libs\_Deprecated_Libraries\ApplicationHelpers2\ApplicationHelpers2TestHarness\ApplicationHelpers2TestHarness\bin\Release\WizardWrx.DLLServices2.dll.config</t>
  </si>
  <si>
    <t>C:\Users\DAVE\Documents\Visual Studio 2013\Projects\WizardWrx_Libs\_Deprecated_Libraries\ApplicationHelpers2\ApplicationHelpers2TestHarness\ApplicationHelpers2TestHarness\bin\Debug\WizardWrx.DLLServices2.dll.config</t>
  </si>
  <si>
    <t>C:\Users\DAVE\Documents\Visual Studio 2013\Projects\WizardWrx_Libs\_Deprecated_Libraries\ApplicationHelpers2\ApplicationHelpers2TestHarness\ApplicationHelpers2TestHarness\WizardWrx.DLLServices2.dll.config</t>
  </si>
  <si>
    <t>C:\Users\DAVE\Documents\Visual Studio 2013\Projects\WizardWrx_Libs\_Deprecated_Libraries\ApplicationHelpers2\ApplicationHelpers2\bin\Release\WizardWrx.DLLServices2.dll.config</t>
  </si>
  <si>
    <t>C:\Users\DAVE\Documents\Visual Studio 2013\Projects\WizardWrx_Libs\_Deprecated_Libraries\ApplicationHelpers2\ApplicationHelpers2\bin\Debug\WizardWrx.DLLServices2.dll.config</t>
  </si>
  <si>
    <t>C:\Users\DAVE\Documents\Visual Studio 2013\Projects\WizardWrx_Libs\_Deprecated_Libraries\ApplicationHelpers2\WizardWrx.DLLServices2.dll.config</t>
  </si>
  <si>
    <t>C:\Users\DAVE\Documents\Visual Studio 2013\Projects\WizardWrx_Libs\WinFormsHelpers\WinFormsHelpers\bin\Release\WizardWrx.DLLServices2.dll.config</t>
  </si>
  <si>
    <t>C:\Users\DAVE\Documents\Visual Studio 2013\Projects\WizardWrx_Libs\WinFormsHelpers\WinFormsHelpers\bin\Debug\WizardWrx.DLLServices2.dll.config</t>
  </si>
  <si>
    <t>C:\Users\DAVE\Documents\Visual Studio 2013\Projects\WizardWrx_Libs\SharedUtl4\SharedUtl4_TestStand\bin\Release\WizardWrx.DLLServices2.dll.config</t>
  </si>
  <si>
    <t>C:\Users\DAVE\Documents\Visual Studio 2013\Projects\WizardWrx_Libs\SharedUtl4\SharedUtl4_TestStand\bin\Debug\WizardWrx.DLLServices2.dll.config</t>
  </si>
  <si>
    <t>C:\Users\DAVE\Documents\Visual Studio 2013\Projects\WizardWrx_Libs\SharedUtl4\SharedUtl4_TestStand\WizardWrx.DLLServices2.dll.config</t>
  </si>
  <si>
    <t>C:\Users\DAVE\Documents\Visual Studio 2013\Projects\WizardWrx_Libs\SharedUtl4\SharedUtl4\bin\Release\WizardWrx.DLLServices2.dll.config</t>
  </si>
  <si>
    <t>C:\Users\DAVE\Documents\Visual Studio 2013\Projects\WizardWrx_Libs\SharedUtl4\SharedUtl4\bin\Debug\WizardWrx.DLLServices2.dll.config</t>
  </si>
  <si>
    <t>C:\Users\DAVE\Documents\Visual Studio 2013\Projects\WizardWrx_Libs\SharedUtl4\FormatStringEngine\bin\Debug\WizardWrx.DLLServices2.dll.config</t>
  </si>
  <si>
    <t>C:\Users\DAVE\Documents\Visual Studio 2013\Projects\WizardWrx_Libs\MailForAllApps\TestStand\bin\Release\WizardWrx.DLLServices2.dll.config</t>
  </si>
  <si>
    <t>C:\Users\DAVE\Documents\Visual Studio 2013\Projects\WizardWrx_Libs\MailForAllApps\TestStand\bin\Debug\WizardWrx.DLLServices2.dll.config</t>
  </si>
  <si>
    <t>C:\Users\DAVE\Documents\Visual Studio 2013\Projects\WizardWrx_Libs\MailForAllApps\TestStand\WizardWrx.DLLServices2.dll.config</t>
  </si>
  <si>
    <t>C:\Users\DAVE\Documents\Visual Studio 2013\Projects\WizardWrx_Libs\MailForAllApps\MailForAllApps\bin\Release\WizardWrx.DLLServices2.dll.config</t>
  </si>
  <si>
    <t>C:\Users\DAVE\Documents\Visual Studio 2013\Projects\WizardWrx_Libs\MailForAllApps\MailForAllApps\bin\Debug\WizardWrx.DLLServices2.dll.config</t>
  </si>
  <si>
    <t>C:\Users\DAVE\Documents\Visual Studio 2013\Projects\WizardWrx_Libs\DLLServices2\RedirectedStreamTester\bin\Release\WizardWrx.DLLServices2.dll.config</t>
  </si>
  <si>
    <t>C:\Users\DAVE\Documents\Visual Studio 2013\Projects\WizardWrx_Libs\DLLServices2\RedirectedStreamTester\bin\Debug\WizardWrx.DLLServices2.dll.config</t>
  </si>
  <si>
    <t>C:\Users\DAVE\Documents\Visual Studio 2013\Projects\WizardWrx_Libs\DLLServices2\DLLServices2TestStand\bin\Release\WizardWrx.DLLServices2.dll.config</t>
  </si>
  <si>
    <t>C:\Users\DAVE\Documents\Visual Studio 2013\Projects\WizardWrx_Libs\DLLServices2\DLLServices2TestStand\bin\Debug\WizardWrx.DLLServices2.dll.config</t>
  </si>
  <si>
    <t>C:\Users\DAVE\Documents\Visual Studio 2013\Projects\WizardWrx_Libs\DLLServices2\DLLServices2\obj\Release\WizardWrx.DLLServices2.dll.config</t>
  </si>
  <si>
    <t>C:\Users\DAVE\Documents\Visual Studio 2013\Projects\WizardWrx_Libs\DLLServices2\DLLServices2\obj\Debug\WizardWrx.DLLServices2.dll.config</t>
  </si>
  <si>
    <t>C:\Users\DAVE\Documents\Visual Studio 2013\Projects\WizardWrx_Libs\DLLServices2\DLLServices2\bin\Release\WizardWrx.DLLServices2.dll.config</t>
  </si>
  <si>
    <t>C:\Users\DAVE\Documents\Visual Studio 2013\Projects\WizardWrx_Libs\DLLServices2\DLLServices2\bin\Debug\WizardWrx.DLLServices2.dll.config</t>
  </si>
  <si>
    <t>C:\Users\DAVE\Documents\Visual Studio 2013\Projects\WizardWrx_Libs\DLLServices2\DLLServices2\WizardWrx.DLLServices2.dll.config</t>
  </si>
  <si>
    <t>C:\Users\DAVE\Documents\Visual Studio 2013\Projects\WizardWrx_Libs\ConsoleAppAids2\TestStand\bin\Release\WizardWrx.DLLServices2.dll.config</t>
  </si>
  <si>
    <t>C:\Users\DAVE\Documents\Visual Studio 2013\Projects\WizardWrx_Libs\ConsoleAppAids2\TestStand\bin\Debug\WizardWrx.DLLServices2.dll.config</t>
  </si>
  <si>
    <t>C:\Users\DAVE\Documents\Visual Studio 2013\Projects\WizardWrx_Libs\ConsoleAppAids2\TestStand\WizardWrx.DLLServices2.dll.config</t>
  </si>
  <si>
    <t>C:\Users\DAVE\Documents\Visual Studio 2013\Projects\WizardWrx_Libs\ConsoleAppAids2\EOJTEST\bin\Release\WizardWrx.DLLServices2.dll.config</t>
  </si>
  <si>
    <t>C:\Users\DAVE\Documents\Visual Studio 2013\Projects\WizardWrx_Libs\ConsoleAppAids2\EOJTEST\bin\Debug\WizardWrx.DLLServices2.dll.config</t>
  </si>
  <si>
    <t>C:\Users\DAVE\Documents\Visual Studio 2013\Projects\WizardWrx_Libs\ConsoleAppAids2\EOJTEST\WizardWrx.DLLServices2.dll.config</t>
  </si>
  <si>
    <t>C:\Users\DAVE\Documents\Visual Studio 2013\Projects\WizardWrx_Libs\ConsoleAppAids2\ConsoleAppAids2\bin\Release\WizardWrx.DLLServices2.dll.config</t>
  </si>
  <si>
    <t>C:\Users\DAVE\Documents\Visual Studio 2013\Projects\WizardWrx_Libs\ConsoleAppAids2\ConsoleAppAids2\bin\Debug\WizardWrx.DLLServices2.dll.config</t>
  </si>
  <si>
    <t>C:\Users\DAVE\Documents\Visual Studio 2013\Projects\WizardWrx_Libs\ConsoleAppAids2\ConsoleAppAids2\WizardWrx.DLLServices2.dll.config</t>
  </si>
  <si>
    <t>C:\Users\DAVE\Documents\Visual Studio 2013\Projects\WizardWrx_Libs\AnyCSV\AnyCSVTestStand\bin\Release\WizardWrx.DLLServices2.dll.config</t>
  </si>
  <si>
    <t>C:\Users\DAVE\Documents\Visual Studio 2013\Projects\WizardWrx_Libs\AnyCSV\AnyCSVTestStand\bin\Debug\WizardWrx.DLLServices2.dll.config</t>
  </si>
  <si>
    <t>C:\Users\DAVE\Documents\Visual Studio 2013\Projects\WizardWrx_Libs\AnyCSV\AnyCSVTestStand\WizardWrx.DLLServices2.dll.config</t>
  </si>
  <si>
    <t>C:\Users\DAVE\Documents\Visual Studio 2013\Projects\Tools_for_Programmers\RGUNC_Tag_Browser\CreateAlternativesTable\bin\Debug\WizardWrx.DLLServices2.dll.config</t>
  </si>
  <si>
    <t>C:\Users\DAVE\Documents\Visual Studio 2013\Projects\Tools_for_Programmers\PolyCat\PolyCat\bin\Release\WizardWrx.DLLServices2.dll.config</t>
  </si>
  <si>
    <t>C:\Users\DAVE\Documents\Visual Studio 2013\Projects\Tools_for_Programmers\PolyCat\PolyCat\bin\Debug\WizardWrx.DLLServices2.dll.config</t>
  </si>
  <si>
    <t>C:\Users\DAVE\Documents\Visual Studio 2013\Projects\Tools_for_Programmers\PolyCat\PolyCat\WizardWrx.DLLServices2.dll.config</t>
  </si>
  <si>
    <t>C:\Users\DAVE\Documents\Visual Studio 2013\Projects\Tools_for_Programmers\PolyCat\NOTES\WizardWrx.DLLServices2.dll.config</t>
  </si>
  <si>
    <t>C:\Users\DAVE\Documents\Visual Studio 2013\Projects\Tools_for_Programmers\MemView\MemView\bin\Debug\WizardWrx.DLLServices2.dll.config</t>
  </si>
  <si>
    <t>C:\Users\DAVE\Documents\Visual Studio 2013\Projects\Tools_for_Programmers\MemCalc\MemCalc\bin\Debug\WizardWrx.DllServices2.dll.config</t>
  </si>
  <si>
    <t>C:\Users\DAVE\Documents\Visual Studio 2013\Projects\Tools_for_Programmers\MemCalc\MemCalc\WizardWrx.DllServices2.dll.config</t>
  </si>
  <si>
    <t>C:\Users\DAVE\Documents\Visual Studio 2013\Projects\Tools_for_Programmers\CertStoreLister\CertStoreLister\bin\Debug\WizardWrx.DLLServices2.dll.config</t>
  </si>
  <si>
    <t>C:\Users\DAVE\Documents\Visual Studio 2013\Projects\Tools_for_Programmers\CertStoreLister\CertStoreLister\WizardWrx.DLLServices2.dll.config</t>
  </si>
  <si>
    <t>C:\Users\DAVE\Documents\Visual Studio 2013\Projects\Tools_for_Programmers\BitView\BitView\bin\Debug\WizardWrx.DLLServices2.dll.config</t>
  </si>
  <si>
    <t>C:\Users\DAVE\Documents\Visual Studio 2013\Projects\NOLANB\ZZRdInts\ZZRdInts\bin\Release\WizardWrx.DLLServices2.dll.config</t>
  </si>
  <si>
    <t>C:\Users\DAVE\Documents\Visual Studio 2013\Projects\NOLANB\ZZRdInts\ZZRdInts\bin\Debug\WizardWrx.DLLServices2.dll.config</t>
  </si>
  <si>
    <t>C:\Users\DAVE\Documents\Visual Studio 2013\Projects\NOLANB\ZZRdInts\ZZRdInts\WizardWrx.DLLServices2.dll.config</t>
  </si>
  <si>
    <t>C:\Users\DAVE\Documents\Visual Studio 2013\Projects\NOLANB\LogBasePruner\LogBasePruner\bin\Release\WizardWrx.DLLServices2.dll.config</t>
  </si>
  <si>
    <t>C:\Users\DAVE\Documents\Visual Studio 2013\Projects\NOLANB\LogBasePruner\LogBasePruner\bin\Debug\WizardWrx.DLLServices2.dll.config</t>
  </si>
  <si>
    <t>C:\Users\DAVE\Documents\Visual Studio 2013\Projects\NOLANB\LogBasePruner\LogBasePruner\WizardWrx.DLLServices2.dll.config</t>
  </si>
  <si>
    <t>C:\Users\DAVE\Documents\Visual Studio 2013\Projects\NOLANB\EZXFER_Cloud_Manager\EZXFER_Cloud_Manager\bin\Release\WizardWrx.DLLServices2.dll.config</t>
  </si>
  <si>
    <t>C:\Users\DAVE\Documents\Visual Studio 2013\Projects\NOLANB\EZXFER_Cloud_Manager\EZXFER_Cloud_Manager\bin\Debug\WizardWrx.DLLServices2.dll.config</t>
  </si>
  <si>
    <t>C:\Users\DAVE\Documents\Visual Studio 2013\Projects\NOLANB\EZXFER_Cloud_Manager\EZXFER_Cloud_Manager\WizardWrx.DLLServices2.dll.config</t>
  </si>
  <si>
    <t>C:\Users\DAVE\Documents\Visual Studio 2013\Projects\NOLANB\EZPayWebPmtsNotifier\EZPayWebPmtsNotifier\bin\Release\WizardWrx.DLLServices2.dll.config</t>
  </si>
  <si>
    <t>C:\Users\DAVE\Documents\Visual Studio 2013\Projects\NOLANB\EZPayWebPmtsNotifier\EZPayWebPmtsNotifier\bin\Debug\WizardWrx.DLLServices2.dll.config</t>
  </si>
  <si>
    <t>C:\Users\DAVE\Documents\Visual Studio 2013\Projects\NOLANB\EZPayFileMonitor\EZPayFileMonitor\bin\Release\WizardWrx.DLLServices2.dll.config</t>
  </si>
  <si>
    <t>C:\Users\DAVE\Documents\Visual Studio 2013\Projects\NOLANB\EZPayFileMonitor\EZPayFileMonitor\bin\Debug\WizardWrx.DLLServices2.dll.config</t>
  </si>
  <si>
    <t>C:\Users\DAVE\Documents\Visual Studio 2013\Projects\NOLANB\EZPayFileMonitor\EZPayFileMonitor\WizardWrx.DLLServices2.dll.config</t>
  </si>
  <si>
    <t>C:\Users\DAVE\Documents\Visual Studio 2013\Projects\NOLANB\DataEaseDirectoryReader\SupportMethodTester\bin\Release\WizardWrx.DLLServices2.dll.config</t>
  </si>
  <si>
    <t>C:\Users\DAVE\Documents\Visual Studio 2013\Projects\NOLANB\DataEaseDirectoryReader\SupportMethodTester\bin\Debug\WizardWrx.DLLServices2.dll.config</t>
  </si>
  <si>
    <t>C:\Users\DAVE\Documents\Visual Studio 2013\Projects\NOLANB\DataEaseDirectoryReader\SupportMethodTester\WizardWrx.DLLServices2.dll.config</t>
  </si>
  <si>
    <t>C:\Users\DAVE\Documents\Visual Studio 2013\Projects\NOLANB\DataEaseDirectoryReader\DataEaseDirectoryReader\bin\Release\WizardWrx.DLLServices2.dll.config</t>
  </si>
  <si>
    <t>C:\Users\DAVE\Documents\Visual Studio 2013\Projects\NOLANB\DataEaseDirectoryReader\DataEaseDirectoryReader\bin\Debug\WizardWrx.DLLServices2.dll.config</t>
  </si>
  <si>
    <t>C:\Users\DAVE\Documents\Visual Studio 2013\Projects\NOLANB\DataEaseDirectoryReader\DataEaseDirectoryReader\WizardWrx.DLLServices2.dll.config</t>
  </si>
  <si>
    <t>C:\Users\DAVE\Documents\Visual Studio 2013\Projects\NOLANB\DataEaseDirectoryReader\DataEase\bin\Release\WizardWrx.DLLServices2.dll.config</t>
  </si>
  <si>
    <t>C:\Users\DAVE\Documents\Visual Studio 2013\Projects\NOLANB\DataEaseDirectoryReader\DataEase\bin\Debug\WizardWrx.DLLServices2.dll.config</t>
  </si>
  <si>
    <t>C:\Users\DAVE\Documents\Visual Studio 2013\Projects\DatabaseApps\GeneralPurposeLogger\ConsoleApplication1\ConsoleApplication1\bin\Debug\WizardWrx.DLLServices2.dll.config</t>
  </si>
  <si>
    <t>C:\Users\DAVE\Documents\Visual Studio 2013\Projects\DatabaseApps\GeneralPurposeLogger\ConsoleApplication1\ConsoleApplication1\WizardWrx.DLLServices2.dll.config</t>
  </si>
  <si>
    <t>C:\Users\DAVE\Documents\Visual Studio 2013\Projects\Console_Apps\WWEnumEnvironmentStrings\WWEnumEnvironmentStrings\bin\x86\Release\WizardWrx.DLLServices2.dll.config</t>
  </si>
  <si>
    <t>C:\Users\DAVE\Documents\Visual Studio 2013\Projects\Console_Apps\WWEnumEnvironmentStrings\WWEnumEnvironmentStrings\bin\Release\WizardWrx.DLLServices2.dll.config</t>
  </si>
  <si>
    <t>C:\Users\DAVE\Documents\Visual Studio 2013\Projects\Console_Apps\WWEnumEnvironmentStrings\WWEnumEnvironmentStrings\bin\Debug\WizardWrx.DLLServices2.dll.config</t>
  </si>
  <si>
    <t>C:\Users\DAVE\Documents\Visual Studio 2013\Projects\Console_Apps\WWEnumEnvironmentStrings\WWEnumEnvironmentStrings\WizardWrx.DLLServices2.dll.config</t>
  </si>
  <si>
    <t>C:\Users\DAVE\Documents\Visual Studio 2013\Projects\Console_Apps\NFiles\NFiles\bin\Debug\WizardWrx.DLLServices2.dll.config</t>
  </si>
  <si>
    <t>C:\Users\DAVE\Documents\Visual Studio 2013\Projects\Console_Apps\MultiCat\MultiCat\bin\Debug\WizardWrx.DLLServices2.dll.config</t>
  </si>
  <si>
    <t>C:\Users\DAVE\Documents\Visual Studio 2013\Projects\Console_Apps\MassUpdateColorIndex\MassUpdateColorIndex\bin\Release\WizardWrx.DLLServices2.dll.config</t>
  </si>
  <si>
    <t>C:\Users\DAVE\Documents\Visual Studio 2013\Projects\Console_Apps\MassUpdateColorIndex\MassUpdateColorIndex\bin\Debug\WizardWrx.DLLServices2.dll.config</t>
  </si>
  <si>
    <t>C:\Users\DAVE\Documents\Visual Studio 2013\Projects\Console_Apps\FixEventLogExport\FixEventLogExport_Distribution_Package\WizardWrx.DLLServices2.dll.config</t>
  </si>
  <si>
    <t>C:\Users\DAVE\Documents\Visual Studio 2013\Projects\Console_Apps\FixEventLogExport\FixEventLogExport\bin\x86\Release\WizardWrx.DLLServices2.dll.config</t>
  </si>
  <si>
    <t>C:\Users\DAVE\Documents\Visual Studio 2013\Projects\Console_Apps\FixEventLogExport\FixEventLogExport\bin\x86\Debug\WizardWrx.DLLServices2.dll.config</t>
  </si>
  <si>
    <t>C:\Users\DAVE\Documents\Visual Studio 2013\Projects\Console_Apps\FixEventLogExport\FixEventLogExport\bin\Debug\WizardWrx.DLLServices2.dll.config</t>
  </si>
  <si>
    <t>C:\Users\DAVE\Documents\Visual Studio 2013\Projects\Console_Apps\FixEventLogExport\FixEventLogExport\WizardWrx.DLLServices2.dll.config</t>
  </si>
  <si>
    <t>C:\Users\DAVE\Documents\Visual Studio 2013\Projects\Console_Apps\Date2FN\Date2FN\bin\Debug\WizardWrx.DLLServices2.dll.config</t>
  </si>
  <si>
    <t>C:\Users\DAVE\Documents\Visual Studio 2013\Projects\Console_Apps\CSV2JSONRT\CSV2JSONRT\bin\x86\Release\WizardWrx.DLLServices2.dll.config</t>
  </si>
  <si>
    <t>C:\Users\DAVE\Documents\Visual Studio 2013\Projects\Console_Apps\CSV2JSONRT\CSV2JSONRT\bin\x86\Debug\WizardWrx.DLLServices2.dll.config</t>
  </si>
  <si>
    <t>C:\Users\DAVE\Documents\Programming\Visual_Studio_6\DLL\ProcessInfo\CDeclToStdCallMigrationTool\CDeclToStdCallMigrationTool\bin\Debug\WizardWrx.DLLServices2.dll.config</t>
  </si>
  <si>
    <t>C:\Users\DAVE\Documents\Articles_2015\Console_Output_Magic\DLLServices2\DLLServices2TestStand\bin\Release\WizardWrx.DLLServices2.dll.config</t>
  </si>
  <si>
    <t>C:\Users\DAVE\Documents\Articles_2015\Console_Output_Magic\DLLServices2\DLLServices2TestStand\bin\Debug\WizardWrx.DLLServices2.dll.config</t>
  </si>
  <si>
    <t>C:\Users\DAVE\Documents\Articles_2015\Console_Output_Magic\DLLServices2\DLLServices2\bin\Release\WizardWrx.DLLServices2.dll.config</t>
  </si>
  <si>
    <t>C:\Users\DAVE\Documents\Articles_2015\Console_Output_Magic\DLLServices2\DLLServices2\bin\Debug\WizardWrx.DLLServices2.dll.config</t>
  </si>
  <si>
    <t>C:\Users\DAVE\Documents\Articles_2015\Console_Output_Magic\DLLServices2\DLLServices2\WizardWrx.DLLServices2.dll.config</t>
  </si>
  <si>
    <t>C:\Users\DAVE\Documents\Articles_2015\Console_Output_Magic\Console_Color_Writer\TestStand\bin\Release\WizardWrx.DLLServices2.dll.config</t>
  </si>
  <si>
    <t>C:\Users\DAVE\Documents\Articles_2015\Console_Output_Magic\Console_Color_Writer\TestStand\bin\Debug\WizardWrx.DLLServices2.dll.config</t>
  </si>
  <si>
    <t>C:\Users\DAVE\Documents\Articles_2015\Console_Output_Magic\Console_Color_Writer\TestStand\WizardWrx.DLLServices2.dll.config</t>
  </si>
  <si>
    <t>C:\Users\DAVE\Documents\Articles_2015\Console_Output_Magic\Console_Color_Writer\ConsoleAppAids2\bin\Release\WizardWrx.DLLServices2.dll.config</t>
  </si>
  <si>
    <t>C:\Users\DAVE\Documents\Articles_2015\Console_Output_Magic\Console_Color_Writer\ConsoleAppAids2\bin\Debug\WizardWrx.DLLServices2.dll.config</t>
  </si>
  <si>
    <t>C:\Users\DAVE\Documents\Articles_2015\Console_Output_Magic\Console_Color_Writer\ConsoleAppAids2\WizardWrx.DLLServices2.dll.config</t>
  </si>
  <si>
    <t>C:\bin\WizardWrx.DLLServices2.dll.config</t>
  </si>
  <si>
    <t>Created</t>
  </si>
  <si>
    <t>Last_Modify</t>
  </si>
  <si>
    <t>Last_Access</t>
  </si>
  <si>
    <t>Size</t>
  </si>
  <si>
    <t>Absolute_FileName</t>
  </si>
  <si>
    <t>Absolute_DirectoryName</t>
  </si>
  <si>
    <t>Cells</t>
  </si>
  <si>
    <t>Columns</t>
  </si>
  <si>
    <t>Rows</t>
  </si>
  <si>
    <t>Address</t>
  </si>
  <si>
    <t>Sheet</t>
  </si>
  <si>
    <t>Origin Cell Contents</t>
  </si>
  <si>
    <t>Absolute Address</t>
  </si>
  <si>
    <t>Check List</t>
  </si>
  <si>
    <t>_Index of Named Ranges</t>
  </si>
  <si>
    <t>Inventory_WizardWrx_DLLServices</t>
  </si>
  <si>
    <t>__Workbook_Index</t>
  </si>
  <si>
    <t>Newest_DllServices_Config</t>
  </si>
  <si>
    <t>=Inventory_WizardWrx_DLLServices!$D$2</t>
  </si>
  <si>
    <t>Task_Notes_Directory</t>
  </si>
  <si>
    <t>='Check List'!$E$3</t>
  </si>
  <si>
    <t>Task_Notes_File</t>
  </si>
  <si>
    <t>Decorate classes to be exposed with [Serializable(), ClassInterface(ClassInterfaceType.AutoDual), ComVisible(true)].</t>
  </si>
  <si>
    <t>Consider adding a collection class.</t>
  </si>
  <si>
    <t>Open the Parser class in the editor, and insert it.</t>
  </si>
  <si>
    <t>Set this on the Build tab of the assembly property sheet. Since he didn't specify which configuration, and I know how such things usually behave, I set this on the Release build.</t>
  </si>
  <si>
    <t>Since this is a core feature, it requires no new references.</t>
  </si>
  <si>
    <t>These can be inserted individually.</t>
  </si>
  <si>
    <t>C:\Windows\winsxs\x86_microsoft-windows-security-spp-tools_31bf3856ad364e35_6.1.7600.16385_none_456f9c422073f3b7\slmgr.vbs</t>
  </si>
  <si>
    <t>C:\Windows\winsxs\x86_microsoft-windows-p..inscripts.resources_31bf3856ad364e35_6.1.7600.16385_en-us_0e83b619ada3e7ed\pubprn.vbs</t>
  </si>
  <si>
    <t>C:\Windows\winsxs\x86_microsoft-windows-p..inscripts.resources_31bf3856ad364e35_6.1.7600.16385_en-us_0e83b619ada3e7ed\prnqctl.vbs</t>
  </si>
  <si>
    <t>C:\Windows\winsxs\x86_microsoft-windows-p..inscripts.resources_31bf3856ad364e35_6.1.7600.16385_en-us_0e83b619ada3e7ed\prnport.vbs</t>
  </si>
  <si>
    <t>C:\Windows\winsxs\x86_microsoft-windows-p..inscripts.resources_31bf3856ad364e35_6.1.7600.16385_en-us_0e83b619ada3e7ed\prnmngr.vbs</t>
  </si>
  <si>
    <t>C:\Windows\winsxs\x86_microsoft-windows-p..inscripts.resources_31bf3856ad364e35_6.1.7600.16385_en-us_0e83b619ada3e7ed\prnjobs.vbs</t>
  </si>
  <si>
    <t>C:\Windows\winsxs\x86_microsoft-windows-p..inscripts.resources_31bf3856ad364e35_6.1.7600.16385_en-us_0e83b619ada3e7ed\prndrvr.vbs</t>
  </si>
  <si>
    <t>C:\Windows\winsxs\x86_microsoft-windows-p..inscripts.resources_31bf3856ad364e35_6.1.7600.16385_en-us_0e83b619ada3e7ed\prncnfg.vbs</t>
  </si>
  <si>
    <t>C:\Windows\winsxs\wow64_microsoft-windows-w..for-management-core_31bf3856ad364e35_7.2.7601.16406_none_ec8c540d21b01a76\winrm.vbs</t>
  </si>
  <si>
    <t>C:\Windows\winsxs\wow64_microsoft-windows-w..for-management-core_31bf3856ad364e35_6.1.7601.22826_none_3360df98112c1ae9\winrm.vbs</t>
  </si>
  <si>
    <t>C:\Windows\winsxs\wow64_microsoft-windows-w..for-management-core_31bf3856ad364e35_6.1.7601.18619_none_32e511b0f803ae0c\winrm.vbs</t>
  </si>
  <si>
    <t>C:\Windows\winsxs\wow64_microsoft-windows-w..for-management-core_31bf3856ad364e35_6.1.7601.17514_none_32e02520f8081891\winrm.vbs</t>
  </si>
  <si>
    <t>C:\Windows\winsxs\wow64_microsoft-windows-iis-legacyscripts_31bf3856ad364e35_6.1.7600.16385_none_e49008e2c548c75f\IIsExt.vbs</t>
  </si>
  <si>
    <t>C:\Windows\winsxs\amd64_microsoft-windows-w..for-management-core_31bf3856ad364e35_7.2.7601.16406_none_e237a9baed4f587b\winrm.vbs</t>
  </si>
  <si>
    <t>C:\Windows\winsxs\amd64_microsoft-windows-w..for-management-core_31bf3856ad364e35_6.1.7601.22826_none_290c3545dccb58ee\winrm.vbs</t>
  </si>
  <si>
    <t>C:\Windows\winsxs\amd64_microsoft-windows-w..for-management-core_31bf3856ad364e35_6.1.7601.18619_none_2890675ec3a2ec11\winrm.vbs</t>
  </si>
  <si>
    <t>C:\Windows\winsxs\amd64_microsoft-windows-w..for-management-core_31bf3856ad364e35_6.1.7601.17514_none_288b7acec3a75696\winrm.vbs</t>
  </si>
  <si>
    <t>C:\Windows\winsxs\amd64_microsoft-windows-security-spp-tools_31bf3856ad364e35_6.1.7600.16385_none_a18e37c5d8d164ed\slmgr.vbs</t>
  </si>
  <si>
    <t>C:\Windows\winsxs\amd64_microsoft-windows-p..inscripts.resources_31bf3856ad364e35_6.1.7600.16385_en-us_6aa2519d66015923\pubprn.vbs</t>
  </si>
  <si>
    <t>C:\Windows\winsxs\amd64_microsoft-windows-p..inscripts.resources_31bf3856ad364e35_6.1.7600.16385_en-us_6aa2519d66015923\prnqctl.vbs</t>
  </si>
  <si>
    <t>C:\Windows\winsxs\amd64_microsoft-windows-p..inscripts.resources_31bf3856ad364e35_6.1.7600.16385_en-us_6aa2519d66015923\prnport.vbs</t>
  </si>
  <si>
    <t>C:\Windows\winsxs\amd64_microsoft-windows-p..inscripts.resources_31bf3856ad364e35_6.1.7600.16385_en-us_6aa2519d66015923\prnmngr.vbs</t>
  </si>
  <si>
    <t>C:\Windows\winsxs\amd64_microsoft-windows-p..inscripts.resources_31bf3856ad364e35_6.1.7600.16385_en-us_6aa2519d66015923\prnjobs.vbs</t>
  </si>
  <si>
    <t>C:\Windows\winsxs\amd64_microsoft-windows-p..inscripts.resources_31bf3856ad364e35_6.1.7600.16385_en-us_6aa2519d66015923\prndrvr.vbs</t>
  </si>
  <si>
    <t>C:\Windows\winsxs\amd64_microsoft-windows-p..inscripts.resources_31bf3856ad364e35_6.1.7600.16385_en-us_6aa2519d66015923\prncnfg.vbs</t>
  </si>
  <si>
    <t>C:\Windows\winsxs\amd64_microsoft-windows-nettrace-netsh-helper_31bf3856ad364e35_6.1.7600.16385_none_f72251fe8a04e1e5\gatherNetworkInfo.vbs</t>
  </si>
  <si>
    <t>C:\Windows\winsxs\amd64_microsoft-windows-iis-legacyscripts_31bf3856ad364e35_6.1.7600.16385_none_da3b5e9090e80564\IIsExt.vbs</t>
  </si>
  <si>
    <t>C:\Windows\winsxs\amd64_microsoft-windows-iis-legacyscripts_31bf3856ad364e35_6.1.7600.16385_none_da3b5e9090e80564\adsutil.vbs</t>
  </si>
  <si>
    <t>C:\Windows\SysWOW64\Printing_Admin_Scripts\en-US\pubprn.vbs</t>
  </si>
  <si>
    <t>C:\Windows\SysWOW64\Printing_Admin_Scripts\en-US\prnqctl.vbs</t>
  </si>
  <si>
    <t>C:\Windows\SysWOW64\Printing_Admin_Scripts\en-US\prnport.vbs</t>
  </si>
  <si>
    <t>C:\Windows\SysWOW64\Printing_Admin_Scripts\en-US\prnmngr.vbs</t>
  </si>
  <si>
    <t>C:\Windows\SysWOW64\Printing_Admin_Scripts\en-US\prnjobs.vbs</t>
  </si>
  <si>
    <t>C:\Windows\SysWOW64\Printing_Admin_Scripts\en-US\prndrvr.vbs</t>
  </si>
  <si>
    <t>C:\Windows\SysWOW64\Printing_Admin_Scripts\en-US\prncnfg.vbs</t>
  </si>
  <si>
    <t>C:\Windows\SysWOW64\winrm.vbs</t>
  </si>
  <si>
    <t>C:\Windows\SysWOW64\slmgr.vbs</t>
  </si>
  <si>
    <t>C:\Windows\System32\Printing_Admin_Scripts\en-US\pubprn.vbs</t>
  </si>
  <si>
    <t>C:\Windows\System32\Printing_Admin_Scripts\en-US\prnqctl.vbs</t>
  </si>
  <si>
    <t>C:\Windows\System32\Printing_Admin_Scripts\en-US\prnport.vbs</t>
  </si>
  <si>
    <t>C:\Windows\System32\Printing_Admin_Scripts\en-US\prnmngr.vbs</t>
  </si>
  <si>
    <t>C:\Windows\System32\Printing_Admin_Scripts\en-US\prnjobs.vbs</t>
  </si>
  <si>
    <t>C:\Windows\System32\Printing_Admin_Scripts\en-US\prndrvr.vbs</t>
  </si>
  <si>
    <t>C:\Windows\System32\Printing_Admin_Scripts\en-US\prncnfg.vbs</t>
  </si>
  <si>
    <t>C:\Windows\System32\winrm.vbs</t>
  </si>
  <si>
    <t>C:\Windows\System32\slmgr.vbs</t>
  </si>
  <si>
    <t>C:\UTIL\NBIDDQL.VBS</t>
  </si>
  <si>
    <t>C:\Users\Public\Documents\Other_Clients\Justice_Marty\01137_Inspection_Worksheet\Experiments\tips0719.VBS</t>
  </si>
  <si>
    <t>C:\Users\Public\Documents\Other_Clients\Justice_Marty\01137_Inspection_Worksheet\Experiments\hey0425.VBS</t>
  </si>
  <si>
    <t>C:\Users\Public\Documents\NOLANB\_Installation_Packages\UTIL_Reference\NBIDDQL.VBS</t>
  </si>
  <si>
    <t>C:\Users\Public\Documents\NOLANB\_Installation_Packages\Remote\2013\20131016\REPORTS\UTIL_20130919_150654\NBIDDQL.VBS</t>
  </si>
  <si>
    <t>C:\Users\Public\Documents\NOLANB\TASKS\_PTI_Gate_2016\UTIL_Rock_Hill\NBIDDQL.VBS</t>
  </si>
  <si>
    <t>C:\Users\Public\Documents\NOLANB\TASKS\_EMV_Credit_Card_Processing\_Deliverables_Prep\UTIL_ZAPHOD42_20160309_085628\NBIDDQL.VBS</t>
  </si>
  <si>
    <t>C:\Users\Public\Documents\NOLANB\TASKS\DataEase_on_X64\Windows_Server_REFERENCE\UTIL_SQLSERVER2K\NBIDDQL.VBS</t>
  </si>
  <si>
    <t>C:\Users\Public\Documents\NOLANB\TASKS\DataEase_on_X64\Windows_Server_REFERENCE\CALL_OUT_UTIL_20130423_111142\NBIDDQL.VBS</t>
  </si>
  <si>
    <t>C:\Users\Public\Documents\NOLANB\BACKUPS\_Misc_Backups\UTIL_DAGDEV\UTIL_Milestone_20140129_113158\NBIDDQL.VBS</t>
  </si>
  <si>
    <t>C:\Users\Public\Documents\H_DEASE\UTIL_from_ZAPHOD42\NBIDDQL.VBS</t>
  </si>
  <si>
    <t>C:\Users\DAVE\OneDrive\REFERENCE\Windows_7\gshultz_V7R_1-22\CreateCanonical.vbs</t>
  </si>
  <si>
    <t>C:\Users\DAVE\OneDrive\REFERENCE\WinBatch_Stuff\WshDialog\WshDialog.vbs</t>
  </si>
  <si>
    <t>C:\Users\DAVE\OneDrive\REFERENCE\WinBatch_Stuff\evtextender\EvtExt\error.vbs</t>
  </si>
  <si>
    <t>C:\Users\DAVE\OneDrive\REFERENCE\Win32_API\Calling_External_Programs\RunWait.VBS</t>
  </si>
  <si>
    <t>C:\Users\DAVE\OneDrive\REFERENCE\SQL_Server_2000_Resource_Kit\X0804969CD\TOOLSANDSAMPLES\METADATASCRIPTER\HEADER.VBS</t>
  </si>
  <si>
    <t>C:\Users\DAVE\OneDrive\REFERENCE\SQL_Server_2000_Resource_Kit\X0804969CD\TOOLSANDSAMPLES\METADATASCRIPTER\FOOTER.VBS</t>
  </si>
  <si>
    <t>C:\Users\DAVE\OneDrive\REFERENCE\Registry_Hacks_to_Review\window_placement.vbs</t>
  </si>
  <si>
    <t>C:\Users\DAVE\OneDrive\REFERENCE\Registry_Hacks_to_Review\systemuptime.vbs</t>
  </si>
  <si>
    <t>C:\Users\DAVE\OneDrive\REFERENCE\Registry_Hacks_to_Review\specialfolder.vbs</t>
  </si>
  <si>
    <t>C:\Users\DAVE\OneDrive\REFERENCE\Registry_Hacks_to_Review\separateprocess.vbs</t>
  </si>
  <si>
    <t>C:\Users\DAVE\OneDrive\REFERENCE\Registry_Hacks_to_Review\screensaverchange.vbs</t>
  </si>
  <si>
    <t>C:\Users\DAVE\OneDrive\REFERENCE\Registry_Hacks_to_Review\ReportClassName.vbs</t>
  </si>
  <si>
    <t>C:\Users\DAVE\OneDrive\REFERENCE\Registry_Hacks_to_Review\regopen.vbs</t>
  </si>
  <si>
    <t>C:\Users\DAVE\OneDrive\REFERENCE\Registry_Hacks_to_Review\readhostfile.vbs</t>
  </si>
  <si>
    <t>C:\Users\DAVE\OneDrive\REFERENCE\Registry_Hacks_to_Review\numlockenabledisable.vbs</t>
  </si>
  <si>
    <t>C:\Users\DAVE\OneDrive\REFERENCE\Registry_Hacks_to_Review\LookUpExtensions.vbs</t>
  </si>
  <si>
    <t>C:\Users\DAVE\OneDrive\REFERENCE\Registry_Hacks_to_Review\ietoolbars.vbs</t>
  </si>
  <si>
    <t>C:\Users\DAVE\OneDrive\REFERENCE\Registry_Hacks_to_Review\iconcache.vbs</t>
  </si>
  <si>
    <t>C:\Users\DAVE\OneDrive\REFERENCE\Registry_Hacks_to_Review\focusundo.vbs</t>
  </si>
  <si>
    <t>C:\Users\DAVE\OneDrive\REFERENCE\Registry_Hacks_to_Review\focus.vbs</t>
  </si>
  <si>
    <t>C:\Users\DAVE\OneDrive\REFERENCE\Registry_Hacks_to_Review\favmenus.vbs</t>
  </si>
  <si>
    <t>C:\Users\DAVE\OneDrive\REFERENCE\Registry_Hacks_to_Review\favdisable.vbs</t>
  </si>
  <si>
    <t>C:\Users\DAVE\OneDrive\REFERENCE\Registry_Hacks_to_Review\compactcheck.vbs</t>
  </si>
  <si>
    <t>C:\Users\DAVE\OneDrive\REFERENCE\Registry_Hacks_to_Review\clipboardreader.vbs</t>
  </si>
  <si>
    <t>C:\Users\DAVE\OneDrive\REFERENCE\Registry_Hacks_to_Review\changess.vbs</t>
  </si>
  <si>
    <t>C:\Users\DAVE\OneDrive\REFERENCE\Registry_Hacks_to_Review\changeownerorg.vbs</t>
  </si>
  <si>
    <t>C:\Users\DAVE\OneDrive\REFERENCE\Registry_Hacks_to_Review\changedefaultdir.vbs</t>
  </si>
  <si>
    <t>C:\Users\DAVE\OneDrive\REFERENCE\Registry_Hacks_to_Review\alwayshideext.vbs</t>
  </si>
  <si>
    <t>C:\Users\DAVE\OneDrive\REFERENCE\Registry_Hacks_to_Review\accountsid.vbs</t>
  </si>
  <si>
    <t>C:\Users\DAVE\OneDrive\REFERENCE\PKZIP_ERROR_TRAPPING\regopen.vbs</t>
  </si>
  <si>
    <t>C:\Users\DAVE\OneDrive\REFERENCE\PKZIP_ERROR_TRAPPING\focus.vbs</t>
  </si>
  <si>
    <t>C:\Users\DAVE\OneDrive\REFERENCE\NTFS Streams and Hard Links\StrmExt\ReleaseMinDependency\RWStream.vbs</t>
  </si>
  <si>
    <t>C:\Users\DAVE\OneDrive\REFERENCE\NTFS Streams and Hard Links\StrmExt\ReleaseMinDependency\HardLinks.vbs</t>
  </si>
  <si>
    <t>C:\Users\DAVE\OneDrive\REFERENCE\NTFS Streams and Hard Links\RWStream.vbs</t>
  </si>
  <si>
    <t>C:\Users\DAVE\OneDrive\REFERENCE\NTFS Streams and Hard Links\HardLinks.vbs</t>
  </si>
  <si>
    <t>C:\Users\DAVE\OneDrive\REFERENCE\HTML\IEspy_src\IEspy_Network.vbs</t>
  </si>
  <si>
    <t>C:\Users\DAVE\OneDrive\REFERENCE\HTML\IEspy_src\IEspy.vbs</t>
  </si>
  <si>
    <t>C:\Users\DAVE\OneDrive\REFERENCE\BASIC\Common.vbs</t>
  </si>
  <si>
    <t>C:\Users\DAVE\OneDrive\OneDrive - Simple Soft Services, Inc\REFERENCE\NTFS Streams and Hard Links\RWStream.vbs</t>
  </si>
  <si>
    <t>C:\Users\DAVE\OneDrive\OneDrive - Simple Soft Services, Inc\REFERENCE\NTFS Streams and Hard Links\HardLinks.vbs</t>
  </si>
  <si>
    <t>C:\Users\DAVE\Documents\Programming\WinBatch_Studio\Retired\2007TZFIX\scripts\refreshTZinfo.vbs</t>
  </si>
  <si>
    <t>C:\Users\DAVE\Documents\Programming\Visual_Studio_6\DLL\EventLogging\scripts\ELARegistrar_Solution_Elevated.VBS</t>
  </si>
  <si>
    <t>C:\Users\DAVE\Documents\Programming\VBScript\SetDocProps\SetMSODocProps.VBS</t>
  </si>
  <si>
    <t>C:\Users\DAVE\Documents\Programming\VBScript\Recycle_Bin_Pruner\Clear_Recycler_Bin_of_Iitems_Ove_X_Dday_Old.VBS</t>
  </si>
  <si>
    <t>C:\Users\DAVE\Documents\Programming\VBScript\ParseTaggedArgs\ParseTaggedArgs.VBS</t>
  </si>
  <si>
    <t>C:\Users\DAVE\Documents\Programming\VBScript\ExtractWinEvents\Formatting\TestCode\ExtractWinEvents.VBS</t>
  </si>
  <si>
    <t>C:\Users\DAVE\Documents\Programming\VBScript\ExtractWinEvents\ExtractWinEvents.VBS</t>
  </si>
  <si>
    <t>C:\Users\DAVE\Documents\Programming\VBScript\DelTempFiles\ParseTaggedArgs.VBS</t>
  </si>
  <si>
    <t>C:\Users\DAVE\Documents\Programming\VBScript\BELogScan\BELogScan.vbs</t>
  </si>
  <si>
    <t>C:\Users\DAVE\Documents\Programming\VBScript\MakeShortcut.VBS</t>
  </si>
  <si>
    <t>C:\Users\DAVE\Documents\Programming\VBScript\GZip.vbs</t>
  </si>
  <si>
    <t>C:\Users\DAVE\Documents\Programming\VBScript\CreateFolder1.VBS</t>
  </si>
  <si>
    <t>C:\Users\DAVE\Documents\Programming\VBScript\Common.vbs</t>
  </si>
  <si>
    <t>C:\Users\DAVE\Documents\Programming\CMD\XCOPY_InUse_File\REFERENCE\ElevationToolkit1\TestElevation.vbs</t>
  </si>
  <si>
    <t>C:\Users\DAVE\Documents\Programming\CMD\WWSetVBS\WWWhichEngine.VBS</t>
  </si>
  <si>
    <t>C:\Users\DAVE\Documents\Programming\Classic_ASP_Review\scripts\WebApplication1_Solution_Elevated.VBS</t>
  </si>
  <si>
    <t>C:\Program Files (x86)\Windows Kits\8.1\bin\x86\wiusexfm.vbs</t>
  </si>
  <si>
    <t>C:\Program Files (x86)\Windows Kits\8.1\bin\x86\witoansi.vbs</t>
  </si>
  <si>
    <t>C:\Program Files (x86)\Windows Kits\8.1\bin\x86\witextin.vbs</t>
  </si>
  <si>
    <t>C:\Program Files (x86)\Windows Kits\8.1\bin\x86\wisuminf.vbs</t>
  </si>
  <si>
    <t>C:\Program Files (x86)\Windows Kits\8.1\bin\x86\wisubstg.vbs</t>
  </si>
  <si>
    <t>C:\Program Files (x86)\Windows Kits\8.1\bin\x86\wistream.vbs</t>
  </si>
  <si>
    <t>C:\Program Files (x86)\Windows Kits\8.1\bin\x86\wirunsql.vbs</t>
  </si>
  <si>
    <t>C:\Program Files (x86)\Windows Kits\8.1\bin\x86\wipolicy.vbs</t>
  </si>
  <si>
    <t>C:\Program Files (x86)\Windows Kits\8.1\bin\x86\wimerge.vbs</t>
  </si>
  <si>
    <t>C:\Program Files (x86)\Windows Kits\8.1\bin\x86\wimakcab.vbs</t>
  </si>
  <si>
    <t>C:\Program Files (x86)\Windows Kits\8.1\bin\x86\wilstxfm.vbs</t>
  </si>
  <si>
    <t>C:\Program Files (x86)\Windows Kits\8.1\bin\x86\wilstscr.vbs</t>
  </si>
  <si>
    <t>C:\Program Files (x86)\Windows Kits\8.1\bin\x86\wilstprd.vbs</t>
  </si>
  <si>
    <t>C:\Program Files (x86)\Windows Kits\8.1\bin\x86\wilangid.vbs</t>
  </si>
  <si>
    <t>C:\Program Files (x86)\Windows Kits\8.1\bin\x86\wiimport.vbs</t>
  </si>
  <si>
    <t>C:\Program Files (x86)\Windows Kits\8.1\bin\x86\wigenxfm.vbs</t>
  </si>
  <si>
    <t>C:\Program Files (x86)\Windows Kits\8.1\bin\x86\wifilver.vbs</t>
  </si>
  <si>
    <t>C:\Program Files (x86)\Windows Kits\8.1\bin\x86\wifeatur.vbs</t>
  </si>
  <si>
    <t>C:\Program Files (x86)\Windows Kits\8.1\bin\x86\wiexport.vbs</t>
  </si>
  <si>
    <t>C:\Program Files (x86)\Windows Kits\8.1\bin\x86\widiffdb.vbs</t>
  </si>
  <si>
    <t>C:\Program Files (x86)\Windows Kits\8.1\bin\x86\widialog.vbs</t>
  </si>
  <si>
    <t>C:\Program Files (x86)\Windows Kits\8.1\bin\x86\WiCompon.vbs</t>
  </si>
  <si>
    <t>C:\Program Files (x86)\Windows Kits\8.1\bin\x86\register_app.vbs</t>
  </si>
  <si>
    <t>C:\Program Files (x86)\Windows Kits\8.1\bin\x64\wiusexfm.vbs</t>
  </si>
  <si>
    <t>C:\Program Files (x86)\Windows Kits\8.1\bin\x64\witoansi.vbs</t>
  </si>
  <si>
    <t>C:\Program Files (x86)\Windows Kits\8.1\bin\x64\witextin.vbs</t>
  </si>
  <si>
    <t>C:\Program Files (x86)\Windows Kits\8.1\bin\x64\wisuminf.vbs</t>
  </si>
  <si>
    <t>C:\Program Files (x86)\Windows Kits\8.1\bin\x64\wisubstg.vbs</t>
  </si>
  <si>
    <t>C:\Program Files (x86)\Windows Kits\8.1\bin\x64\wistream.vbs</t>
  </si>
  <si>
    <t>C:\Program Files (x86)\Windows Kits\8.1\bin\x64\wirunsql.vbs</t>
  </si>
  <si>
    <t>C:\Program Files (x86)\Windows Kits\8.1\bin\x64\wipolicy.vbs</t>
  </si>
  <si>
    <t>C:\Program Files (x86)\Windows Kits\8.1\bin\x64\wimerge.vbs</t>
  </si>
  <si>
    <t>C:\Program Files (x86)\Windows Kits\8.1\bin\x64\wimakcab.vbs</t>
  </si>
  <si>
    <t>C:\Program Files (x86)\Windows Kits\8.1\bin\x64\wilstxfm.vbs</t>
  </si>
  <si>
    <t>C:\Program Files (x86)\Windows Kits\8.1\bin\x64\wilstscr.vbs</t>
  </si>
  <si>
    <t>C:\Program Files (x86)\Windows Kits\8.1\bin\x64\wilstprd.vbs</t>
  </si>
  <si>
    <t>C:\Program Files (x86)\Windows Kits\8.1\bin\x64\wilangid.vbs</t>
  </si>
  <si>
    <t>C:\Program Files (x86)\Windows Kits\8.1\bin\x64\wiimport.vbs</t>
  </si>
  <si>
    <t>C:\Program Files (x86)\Windows Kits\8.1\bin\x64\wigenxfm.vbs</t>
  </si>
  <si>
    <t>C:\Program Files (x86)\Windows Kits\8.1\bin\x64\wifilver.vbs</t>
  </si>
  <si>
    <t>C:\Program Files (x86)\Windows Kits\8.1\bin\x64\wifeatur.vbs</t>
  </si>
  <si>
    <t>C:\Program Files (x86)\Windows Kits\8.1\bin\x64\wiexport.vbs</t>
  </si>
  <si>
    <t>C:\Program Files (x86)\Windows Kits\8.1\bin\x64\widiffdb.vbs</t>
  </si>
  <si>
    <t>C:\Program Files (x86)\Windows Kits\8.1\bin\x64\widialog.vbs</t>
  </si>
  <si>
    <t>C:\Program Files (x86)\Windows Kits\8.1\bin\x64\WiCompon.vbs</t>
  </si>
  <si>
    <t>C:\Program Files (x86)\Windows Kits\8.1\bin\x64\register_app.vbs</t>
  </si>
  <si>
    <t>C:\Program Files (x86)\Windows Kits\8.0\bin\x86\wiusexfm.vbs</t>
  </si>
  <si>
    <t>C:\Program Files (x86)\Windows Kits\8.0\bin\x86\witoansi.vbs</t>
  </si>
  <si>
    <t>C:\Program Files (x86)\Windows Kits\8.0\bin\x86\witextin.vbs</t>
  </si>
  <si>
    <t>C:\Program Files (x86)\Windows Kits\8.0\bin\x86\wisuminf.vbs</t>
  </si>
  <si>
    <t>C:\Program Files (x86)\Windows Kits\8.0\bin\x86\wisubstg.vbs</t>
  </si>
  <si>
    <t>C:\Program Files (x86)\Windows Kits\8.0\bin\x86\wistream.vbs</t>
  </si>
  <si>
    <t>C:\Program Files (x86)\Windows Kits\8.0\bin\x86\wirunsql.vbs</t>
  </si>
  <si>
    <t>C:\Program Files (x86)\Windows Kits\8.0\bin\x86\wipolicy.vbs</t>
  </si>
  <si>
    <t>C:\Program Files (x86)\Windows Kits\8.0\bin\x86\wimerge.vbs</t>
  </si>
  <si>
    <t>C:\Program Files (x86)\Windows Kits\8.0\bin\x86\wimakcab.vbs</t>
  </si>
  <si>
    <t>C:\Program Files (x86)\Windows Kits\8.0\bin\x86\wilstxfm.vbs</t>
  </si>
  <si>
    <t>C:\Program Files (x86)\Windows Kits\8.0\bin\x86\wilstscr.vbs</t>
  </si>
  <si>
    <t>C:\Program Files (x86)\Windows Kits\8.0\bin\x86\wilstprd.vbs</t>
  </si>
  <si>
    <t>C:\Program Files (x86)\Windows Kits\8.0\bin\x86\wilangid.vbs</t>
  </si>
  <si>
    <t>C:\Program Files (x86)\Windows Kits\8.0\bin\x86\wiimport.vbs</t>
  </si>
  <si>
    <t>C:\Program Files (x86)\Windows Kits\8.0\bin\x86\wigenxfm.vbs</t>
  </si>
  <si>
    <t>C:\Program Files (x86)\Windows Kits\8.0\bin\x86\wifilver.vbs</t>
  </si>
  <si>
    <t>C:\Program Files (x86)\Windows Kits\8.0\bin\x86\wifeatur.vbs</t>
  </si>
  <si>
    <t>C:\Program Files (x86)\Windows Kits\8.0\bin\x86\wiexport.vbs</t>
  </si>
  <si>
    <t>C:\Program Files (x86)\Windows Kits\8.0\bin\x86\widiffdb.vbs</t>
  </si>
  <si>
    <t>C:\Program Files (x86)\Windows Kits\8.0\bin\x86\widialog.vbs</t>
  </si>
  <si>
    <t>C:\Program Files (x86)\Windows Kits\8.0\bin\x86\WiCompon.vbs</t>
  </si>
  <si>
    <t>C:\Program Files (x86)\Windows Kits\8.0\bin\x86\register_app.vbs</t>
  </si>
  <si>
    <t>C:\Program Files (x86)\Windows Kits\8.0\bin\x64\wiusexfm.vbs</t>
  </si>
  <si>
    <t>C:\Program Files (x86)\Windows Kits\8.0\bin\x64\witoansi.vbs</t>
  </si>
  <si>
    <t>C:\Program Files (x86)\Windows Kits\8.0\bin\x64\witextin.vbs</t>
  </si>
  <si>
    <t>C:\Program Files (x86)\Windows Kits\8.0\bin\x64\wisuminf.vbs</t>
  </si>
  <si>
    <t>C:\Program Files (x86)\Windows Kits\8.0\bin\x64\wisubstg.vbs</t>
  </si>
  <si>
    <t>C:\Program Files (x86)\Windows Kits\8.0\bin\x64\wistream.vbs</t>
  </si>
  <si>
    <t>C:\Program Files (x86)\Windows Kits\8.0\bin\x64\wirunsql.vbs</t>
  </si>
  <si>
    <t>C:\Program Files (x86)\Windows Kits\8.0\bin\x64\wipolicy.vbs</t>
  </si>
  <si>
    <t>C:\Program Files (x86)\Windows Kits\8.0\bin\x64\wimerge.vbs</t>
  </si>
  <si>
    <t>C:\Program Files (x86)\Windows Kits\8.0\bin\x64\wimakcab.vbs</t>
  </si>
  <si>
    <t>C:\Program Files (x86)\Windows Kits\8.0\bin\x64\wilstxfm.vbs</t>
  </si>
  <si>
    <t>C:\Program Files (x86)\Windows Kits\8.0\bin\x64\wilstscr.vbs</t>
  </si>
  <si>
    <t>C:\Program Files (x86)\Windows Kits\8.0\bin\x64\wilstprd.vbs</t>
  </si>
  <si>
    <t>C:\Program Files (x86)\Windows Kits\8.0\bin\x64\wilangid.vbs</t>
  </si>
  <si>
    <t>C:\Program Files (x86)\Windows Kits\8.0\bin\x64\wiimport.vbs</t>
  </si>
  <si>
    <t>C:\Program Files (x86)\Windows Kits\8.0\bin\x64\wigenxfm.vbs</t>
  </si>
  <si>
    <t>C:\Program Files (x86)\Windows Kits\8.0\bin\x64\wifilver.vbs</t>
  </si>
  <si>
    <t>C:\Program Files (x86)\Windows Kits\8.0\bin\x64\wifeatur.vbs</t>
  </si>
  <si>
    <t>C:\Program Files (x86)\Windows Kits\8.0\bin\x64\wiexport.vbs</t>
  </si>
  <si>
    <t>C:\Program Files (x86)\Windows Kits\8.0\bin\x64\widiffdb.vbs</t>
  </si>
  <si>
    <t>C:\Program Files (x86)\Windows Kits\8.0\bin\x64\widialog.vbs</t>
  </si>
  <si>
    <t>C:\Program Files (x86)\Windows Kits\8.0\bin\x64\WiCompon.vbs</t>
  </si>
  <si>
    <t>C:\Program Files (x86)\Windows Kits\8.0\bin\x64\register_app.vbs</t>
  </si>
  <si>
    <t>C:\Program Files (x86)\Microsoft SDKs\Windows\v7.1A\Include\SMTPReg.Vbs</t>
  </si>
  <si>
    <t>C:\Program Files (x86)\Microsoft SDKs\Windows\v7.1A\Include\NNTPReg.Vbs</t>
  </si>
  <si>
    <t>C:\Program Files (x86)\Microsoft SDKs\Windows\v7.1A\Include\DHtmled.vbs</t>
  </si>
  <si>
    <t>C:\Program Files (x86)\Microsoft Office\Office14\OSPP.VBS</t>
  </si>
  <si>
    <t>C:\Program Files (x86)\Gateway\Welcome Center\Unpin\Unpin.vbs</t>
  </si>
  <si>
    <t>C:\Program Files\ImageMagick-6.9.1-Q16\ImageMagickObject\Tests\SimpleTest.vbs</t>
  </si>
  <si>
    <t>C:\Program Files\ImageMagick-6.9.1-Q16\ImageMagickObject\Tests\ArrayTest.vbs</t>
  </si>
  <si>
    <t>C:\OEM\Preload\utility\_NowIntoDT.vbs</t>
  </si>
  <si>
    <t>C:\OEM\Preload\Autorun\APP\Netflix Shortcut\InstallNetflixP.vbs</t>
  </si>
  <si>
    <t>C:\OEM\Preload\Autorun\APP\Netflix Shortcut\InstallNetflixG.vbs</t>
  </si>
  <si>
    <t>C:\OEM\Preload\Autorun\APP\Netflix Shortcut\InstallNetflixE.vbs</t>
  </si>
  <si>
    <t>C:\OEM\Preload\Autorun\APP\Netflix Shortcut\InstallNetflixA.vbs</t>
  </si>
  <si>
    <t>C:\OEM\Preload\Autorun\APP\AUPEO\MakeLinkAupeo.vbs</t>
  </si>
  <si>
    <t>C:\OEM\ABB\InstallAmazon_shortcut.vbs</t>
  </si>
  <si>
    <t>C:\bin\Perl\eg\Windows Script Components\test.vbs</t>
  </si>
  <si>
    <t>C:\bin\ParseTaggedArgs.VBS</t>
  </si>
  <si>
    <t>C:\bin\MakeShortcut.VBS</t>
  </si>
  <si>
    <t>C:\bin\Clear_Recycle_Bin_of_Items_Over_X_Days_Old.VBS</t>
  </si>
  <si>
    <t>Local_FileName</t>
  </si>
  <si>
    <t>This,is,a,basic,test.</t>
  </si>
  <si>
    <t>,This,test,starts,with,an,empty,string.</t>
  </si>
  <si>
    <t>This,test,ends,with,an,empty,field.,</t>
  </si>
  <si>
    <t>This test,starts,with,a,quoted,string.</t>
  </si>
  <si>
    <t>This,test,ends,with,a,"quoted string."</t>
  </si>
  <si>
    <t>This,test,"contains an embedded",quoted,string.</t>
  </si>
  <si>
    <t>This,"test contains",two,"quoted strings."</t>
  </si>
  <si>
    <t>This,test,"contains a quoted string,",followed by more,"text, both of which include commas."</t>
  </si>
  <si>
    <t>,This,test,",includes a little of this, and a little of that,",,to,push,the,routine to its limits.,</t>
  </si>
  <si>
    <t>CN=RapidSSL CA, O="GeoTrust, Inc.", C=US</t>
  </si>
  <si>
    <t>AssembyDirName</t>
  </si>
  <si>
    <t>interface IAssemblyProperties</t>
  </si>
  <si>
    <t>Property</t>
  </si>
  <si>
    <t>Read Only</t>
  </si>
  <si>
    <t>string</t>
  </si>
  <si>
    <t>Entity Type</t>
  </si>
  <si>
    <t>Access</t>
  </si>
  <si>
    <t>Type</t>
  </si>
  <si>
    <t>Read/Write</t>
  </si>
  <si>
    <t>AssemblyName</t>
  </si>
  <si>
    <t>AssemblyFileName</t>
  </si>
  <si>
    <t>AssemblyGuidAttrib</t>
  </si>
  <si>
    <t>GuidAttribute</t>
  </si>
  <si>
    <t>AssemblyGuidString</t>
  </si>
  <si>
    <t>AssemblyFileBaseName</t>
  </si>
  <si>
    <t>Comments</t>
  </si>
  <si>
    <t>CompanyName</t>
  </si>
  <si>
    <t>Culture</t>
  </si>
  <si>
    <t>Description</t>
  </si>
  <si>
    <t>MiscVersionInfo</t>
  </si>
  <si>
    <t>FileVersionInfo</t>
  </si>
  <si>
    <t>ObjectAssembly</t>
  </si>
  <si>
    <t>Assembly</t>
  </si>
  <si>
    <t>PublicKeyToken</t>
  </si>
  <si>
    <t>LegalCopyright</t>
  </si>
  <si>
    <t>LegalTrademarks</t>
  </si>
  <si>
    <t>VersionString</t>
  </si>
  <si>
    <t>Method</t>
  </si>
  <si>
    <t>Initialize</t>
  </si>
  <si>
    <t>void</t>
  </si>
  <si>
    <t>pstrAssemblyFileName</t>
  </si>
  <si>
    <t>Argument 1</t>
  </si>
  <si>
    <t>NameVersionString</t>
  </si>
  <si>
    <t>pintNParts</t>
  </si>
  <si>
    <t>int</t>
  </si>
  <si>
    <t>penmHowManyFullNameParts</t>
  </si>
  <si>
    <t>AssemblyPropertyViewer.HowManyFullNameParts</t>
  </si>
  <si>
    <t>Enumeration</t>
  </si>
  <si>
    <t>HowManyFullNameParts</t>
  </si>
  <si>
    <t>FullNamePart</t>
  </si>
  <si>
    <t>NAME_ONLY</t>
  </si>
  <si>
    <t>Constant</t>
  </si>
  <si>
    <t>NAME_AND_VERSION_ONLY</t>
  </si>
  <si>
    <t>FULLNAME_PART_DLM</t>
  </si>
  <si>
    <t>char</t>
  </si>
  <si>
    <t>public</t>
  </si>
  <si>
    <t>class AssemblyPropertyViewer</t>
  </si>
  <si>
    <t>Constructor</t>
  </si>
  <si>
    <t>AssemblyPropertyViewer</t>
  </si>
  <si>
    <t>Self</t>
  </si>
  <si>
    <t>DLM_DSP_CARAT</t>
  </si>
  <si>
    <t>DLM_DSP_COMMA</t>
  </si>
  <si>
    <t>DLM_DSP_OTHER</t>
  </si>
  <si>
    <t>DLM_DSP_SPACE</t>
  </si>
  <si>
    <t>DLM_DSP_TAB</t>
  </si>
  <si>
    <t>DLM_DSP_VERTICAL_BAR</t>
  </si>
  <si>
    <t>ERRMSG_SAME_CHAR_AS_DLM_AND_GUARD</t>
  </si>
  <si>
    <t>ERRMSG_SETTINGS_ARE_LOCKED</t>
  </si>
  <si>
    <t>TOSTRING_TEMPLATE</t>
  </si>
  <si>
    <t>Value</t>
  </si>
  <si>
    <t>Carat (^, ASCII code 0x5E)</t>
  </si>
  <si>
    <t>Comma (, ASCII code 0x2C)</t>
  </si>
  <si>
    <t>Other ({0}, ASCII code {1})</t>
  </si>
  <si>
    <t>Tab (Horizontal Tab, ASCII code 0x09)</t>
  </si>
  <si>
    <t>Vertical Bar (|,  a. k. a. Pipe, ASCII code 0x7C)</t>
  </si>
  <si>
    <t>The delimiter and guard characters must differ.{2}    Specified Delimiter Character = {0}{2}    Specified Guard Character     = {1}</t>
  </si>
  <si>
    <t>Settings on this instance are locked.</t>
  </si>
  <si>
    <t>Property setters use this message in the InvalidOperationException exception that they throw when a program attempts to set a property after the object's properties are locked.</t>
  </si>
  <si>
    <t>Back Quotation Mark (`, ASCII code 0x60)</t>
  </si>
  <si>
    <t>Double Quotation Mark (", ASCII code 0x22)</t>
  </si>
  <si>
    <t>Single Quotation Mark (', ASCII code 0x27)</t>
  </si>
  <si>
    <t>Delimiter</t>
  </si>
  <si>
    <t>Guard Character</t>
  </si>
  <si>
    <t>Lock Method</t>
  </si>
  <si>
    <t>Index</t>
  </si>
  <si>
    <t>Length</t>
  </si>
  <si>
    <t>Display</t>
  </si>
  <si>
    <t>Label</t>
  </si>
  <si>
    <t>This row protects a named range.</t>
  </si>
  <si>
    <t>EQUALS_TEMPLATE</t>
  </si>
  <si>
    <t>TOSTRING_TEMPLATE StringBuilder</t>
  </si>
  <si>
    <t>The ToString override uses this template to construct its value.</t>
  </si>
  <si>
    <t>AnyCSV Resource Strings</t>
  </si>
  <si>
    <t>Formats for Equals and ToString</t>
  </si>
  <si>
    <t>AssemblyPropertyViewer Interfac</t>
  </si>
  <si>
    <t>Test Cases</t>
  </si>
  <si>
    <t>Status_Choices</t>
  </si>
  <si>
    <t>='Check List'!$A$2:$A$4</t>
  </si>
  <si>
    <t>Display value for backquote as guard character</t>
  </si>
  <si>
    <t>Display value for double quatation mark as guard character</t>
  </si>
  <si>
    <t>Display value for single quotation mark as guard character</t>
  </si>
  <si>
    <t>Space (ASCII code 0x20)</t>
  </si>
  <si>
    <t>DLM_DSP_CARRIAGE_RETURN</t>
  </si>
  <si>
    <t>DLM_DSP_LINE_FEED</t>
  </si>
  <si>
    <t>Carriage return (CR, ASCII code 0x0D)</t>
  </si>
  <si>
    <t>Line feed (LF, ASCII code 0x0A)</t>
  </si>
  <si>
    <t>Property setters use this message when the program attempts to use the same character as both the delimiter and the guard character.</t>
  </si>
  <si>
    <t>COMMA</t>
  </si>
  <si>
    <t>,</t>
  </si>
  <si>
    <t>\t</t>
  </si>
  <si>
    <t>TAB</t>
  </si>
  <si>
    <t>VERTICAL_BAR</t>
  </si>
  <si>
    <t>|</t>
  </si>
  <si>
    <t>CARAT</t>
  </si>
  <si>
    <t>^</t>
  </si>
  <si>
    <t>SPACE</t>
  </si>
  <si>
    <t>Character Type</t>
  </si>
  <si>
    <t>Message Prefix</t>
  </si>
  <si>
    <t>Prefix</t>
  </si>
  <si>
    <t>CARRIAGE_RETURN</t>
  </si>
  <si>
    <t>DOUBLE_QUOTE</t>
  </si>
  <si>
    <t>SINGLE_QUOTE</t>
  </si>
  <si>
    <t>BACK_QUOTE</t>
  </si>
  <si>
    <t>\x0060</t>
  </si>
  <si>
    <t>\x0027</t>
  </si>
  <si>
    <t>\x0022</t>
  </si>
  <si>
    <t>Other</t>
  </si>
  <si>
    <t>LINE_FEED</t>
  </si>
  <si>
    <t>\r</t>
  </si>
  <si>
    <t>\n</t>
  </si>
  <si>
    <t>DLM_DSP_</t>
  </si>
  <si>
    <t>GRD_DSP_</t>
  </si>
  <si>
    <t>GRD_DSP_DOUBLE_QUOTE</t>
  </si>
  <si>
    <t>GRD_DSP_SINGLE_QUOTE</t>
  </si>
  <si>
    <t>GRD_DSP_BACK_QUOTE</t>
  </si>
  <si>
    <t>Numerical Mapping</t>
  </si>
  <si>
    <t>Member Name</t>
  </si>
  <si>
    <t>Code</t>
  </si>
  <si>
    <t>Special Characters</t>
  </si>
  <si>
    <t>Dec.</t>
  </si>
  <si>
    <t>Hex</t>
  </si>
  <si>
    <t>public const char COMMA = ',';</t>
  </si>
  <si>
    <t>// Treat the space character (ASCII code 044 = 0x002C) as a field delimiter, unless it falls within a pair of guard characters.</t>
  </si>
  <si>
    <t>public const char TAB = '\t';</t>
  </si>
  <si>
    <t>// Treat the space character (ASCII code 009 = 0x0009) as a field delimiter, unless it falls within a pair of guard characters.</t>
  </si>
  <si>
    <t>public const char SPACE = '\x0020';</t>
  </si>
  <si>
    <t>// Treat the space character (ASCII code 032 = 0x0020) as a field delimiter, unless it falls within a pair of guard characters.</t>
  </si>
  <si>
    <t>Display value for other character as delimiter or guard character</t>
  </si>
  <si>
    <t>Display value for carat character as delimiter character</t>
  </si>
  <si>
    <t>Display value for commacharacter as delimiter character</t>
  </si>
  <si>
    <t>Display value for space character as delimiter character</t>
  </si>
  <si>
    <t>Display value for line feed character as delimiter character</t>
  </si>
  <si>
    <t>Display value for vertical bar character as delimiter character.</t>
  </si>
  <si>
    <t>Display value for tab character as delimiter character</t>
  </si>
  <si>
    <t>Display value for carriage return character as delimiter character</t>
  </si>
  <si>
    <t>public const char CARRIAGE_RETURN = '\r';</t>
  </si>
  <si>
    <t>// Treat the Carriage Return (ASCII code 013 = 0x000D) as a field delimiter, unless it falls within a pair of guard characters.</t>
  </si>
  <si>
    <t>public const char LINE_FEED = '\n';</t>
  </si>
  <si>
    <t>// Treat the Line Feed (ASCII code 010 = 0x000A) as a field delimiter, unless it falls within a pair of guard characters.</t>
  </si>
  <si>
    <t>public const char SINGLE_QUOTE = '\x0027';</t>
  </si>
  <si>
    <t>// Protect enclosed delimiter characters that are enclosed in single quotation marks (ASCII code 039 = 0x0027).</t>
  </si>
  <si>
    <t>public const char BACK_QUOTE = '\x0060';</t>
  </si>
  <si>
    <t>// Protect enclosed delimiter characters that are enclosed in double quotation marks (ASCII code 096 = 0x0060).</t>
  </si>
  <si>
    <t>public const char DOUBLE_QUOTE = '\x0022';</t>
  </si>
  <si>
    <t>// Protect enclosed delimiter characters that are enclosed in double quotation marks (ASCII code 034 = 0x0022).</t>
  </si>
  <si>
    <t>public const char VERTICAL_BAR = '|';</t>
  </si>
  <si>
    <t>// Treat the space character (ASCII code 124 = 0x007C) as a field delimiter, unless it falls within a pair of guard characters.</t>
  </si>
  <si>
    <t>Definition of Symbolic Constant</t>
  </si>
  <si>
    <t>Comment on Definition of Symbolic Constant</t>
  </si>
  <si>
    <t>None</t>
  </si>
  <si>
    <t>Guard Disposition</t>
  </si>
  <si>
    <t>GCD_DSP_</t>
  </si>
  <si>
    <t>Keep</t>
  </si>
  <si>
    <t>Strip</t>
  </si>
  <si>
    <t>LKM_DSP_</t>
  </si>
  <si>
    <t>Delimiter Char</t>
  </si>
  <si>
    <t>Guard Char</t>
  </si>
  <si>
    <t>Trim White Space</t>
  </si>
  <si>
    <t>TWS_DSP_</t>
  </si>
  <si>
    <t>Lock State</t>
  </si>
  <si>
    <t>LKS_DSP_</t>
  </si>
  <si>
    <t>Object Property</t>
  </si>
  <si>
    <t>Character_Type</t>
  </si>
  <si>
    <t>Character_Type_Prefix_Labels</t>
  </si>
  <si>
    <t>Character_Type_Prefix_Values</t>
  </si>
  <si>
    <t>Managed_Resource_String_Property_Labels</t>
  </si>
  <si>
    <t>='AnyCSV Resource Strings'!$A$1:$C$1</t>
  </si>
  <si>
    <t>Managed_Resource_String_Property_Values</t>
  </si>
  <si>
    <t>='AnyCSV Resource Strings'!$A$2:$C$16</t>
  </si>
  <si>
    <t>='Formats for Equals and ToString'!$A$4:$A$9</t>
  </si>
  <si>
    <t>='Formats for Equals and ToString'!$A$3:$D$3</t>
  </si>
  <si>
    <t>='Formats for Equals and ToString'!$A$4:$D$9</t>
  </si>
  <si>
    <t>='Formats for Equals and ToString'!$I$9</t>
  </si>
  <si>
    <t>The Equals override uses this template to construct a test value.</t>
  </si>
  <si>
    <t>ERRMSG_TYPE_MISMATCH</t>
  </si>
  <si>
    <t>{0} is of type {1}, which cannot be meaningfully compared to a {2}, which is of type {3}.</t>
  </si>
  <si>
    <t>The Equals override of the two private structures that store the preset delimiter and guard characters uses this template to construct the message for an InvalidCastException if a caller attempts to compare a structure with an object of another type.</t>
  </si>
  <si>
    <t>Unlocked</t>
  </si>
  <si>
    <t>Locked</t>
  </si>
  <si>
    <t>CSVParseEngine</t>
  </si>
  <si>
    <t>Class</t>
  </si>
  <si>
    <t>GUID</t>
  </si>
  <si>
    <t>EBC3549F-FE2A-4CB1-9006-0F48427F2A7A</t>
  </si>
  <si>
    <t>public enum DelimiterChar</t>
  </si>
  <si>
    <t>The DelimiterChar enumeration simplifies specifying any of the commonly used field delimiter characters. All but the first and last values map to one of the public constants defined by this class.</t>
  </si>
  <si>
    <t>public enum GuardChar</t>
  </si>
  <si>
    <t>The GuardChar enumeration simplifies specifying any of the commonly used field delimiter protector characters. All but the first and last values map to one of the public constants defined by this class.</t>
  </si>
  <si>
    <t>A9271285-A237-4778-924F-4D0FA90F9604</t>
  </si>
  <si>
    <t>71CCEE5A-CF43-43B2-A6C8-F219EEC9E30F</t>
  </si>
  <si>
    <t>public enum GuardDisposition</t>
  </si>
  <si>
    <t>Indicate whether to keep or discard field guard characters. Guards that simply appear in the body of a field are always preserved.</t>
  </si>
  <si>
    <t>8F92D749-FD8E-4573-8D5B-5997280B370A</t>
  </si>
  <si>
    <t>public enum LockMethod</t>
  </si>
  <si>
    <t>Once locked, this flag tracks whether the lock was applied by an explicit call to LockSettings or by an internal call made on the first call to the Parse method. Until then, its value is IsUnlocked, which reflects the uninitialized state of its instance member.</t>
  </si>
  <si>
    <t>31C2E565-76BB-4DCE-9648-530B5C83CECA</t>
  </si>
  <si>
    <t>public enum LockState</t>
  </si>
  <si>
    <t>This flag tracks the lock state of the instance properties that govern operation of the CSV parsing engine when the instance method calls upon it to parse a string.</t>
  </si>
  <si>
    <t>093B06A4-2450-430E-8E67-0D988638FE2A</t>
  </si>
  <si>
    <t>public enum TrimWhiteSpace</t>
  </si>
  <si>
    <t>Indicate whether to trim leading and trailing space from fields. By default, leading and trailing white space is left. The other three options are self explanatory.</t>
  </si>
  <si>
    <t>ICSVParser</t>
  </si>
  <si>
    <t>89879EAA-AFAF-4B9D-8D2D-8FE3AD396FE7</t>
  </si>
  <si>
    <t>EE63E545-0FC1-42F0-9DDD-028A5FFD438F</t>
  </si>
  <si>
    <t>RobustDelimitedStringParser</t>
  </si>
  <si>
    <t>[ ClassInterface ( ClassInterfaceType.AutoDual ) ]</t>
  </si>
  <si>
    <t>[ InterfaceType ( ComInterfaceType.InterfaceIsDual ) ]</t>
  </si>
  <si>
    <t>Inherits from abstract class CSVParseEngine , implements interface ICSVParser</t>
  </si>
  <si>
    <t>Both of the other classes implement this interface, RobustDelimitedStringParser explicitly so.</t>
  </si>
  <si>
    <t>24256a33-d92a-4883-8c41-2d69ffebc6e5</t>
  </si>
  <si>
    <t>AnyCSV - Process ANY delimited string.</t>
  </si>
  <si>
    <t>WizardWrx.AnyCSV</t>
  </si>
  <si>
    <t>AnyCSV Character Constants</t>
  </si>
  <si>
    <t>GUID Dictionary</t>
  </si>
  <si>
    <t>Inventory_VisualBasic Scripts</t>
  </si>
  <si>
    <t>This cell guards a named range.</t>
  </si>
  <si>
    <t>='Formats for Equals and ToString'!$K$9</t>
  </si>
  <si>
    <t>GUIDs</t>
  </si>
  <si>
    <t>C:\Users\DAVE\Documents\Programming\VBA_Code_Library\SpecialFormats_WW.BAS</t>
  </si>
  <si>
    <t>Absolute File Name</t>
  </si>
  <si>
    <t>Absolute Directory Name</t>
  </si>
  <si>
    <t>Local File Name</t>
  </si>
  <si>
    <t>Modified</t>
  </si>
  <si>
    <t>Abstract</t>
  </si>
  <si>
    <t>This module contains functions to format data in an assortment of special formats, such as hexadecimal and "core dump" formats.</t>
  </si>
  <si>
    <t>This module encompasses various string functions which are not part of the standard VBA runtime library, but should be, because they are often needed.</t>
  </si>
  <si>
    <t>C:\Users\DAVE\Documents\Programming\VBA_Code_Library\VBAStringLib_WW.BAS</t>
  </si>
  <si>
    <t>C:\Users\DAVE\Documents\Programming\VBA_Code_Library\Excel\TimeSheet\XLSUtils_P6C.bas</t>
  </si>
  <si>
    <t>The internal documentation in this library needs lots of work. Even the abstract is wrong. Neverthelss, many of the functions are very handly.</t>
  </si>
  <si>
    <t>Helper functions for most common operations.</t>
  </si>
  <si>
    <t>Symbolic Constant</t>
  </si>
  <si>
    <t>Binary</t>
  </si>
  <si>
    <t>Synopsis</t>
  </si>
  <si>
    <t>VBA Constant Name</t>
  </si>
  <si>
    <t>vbEmpty</t>
  </si>
  <si>
    <t>Empty (uninitialized)</t>
  </si>
  <si>
    <t>vbNull</t>
  </si>
  <si>
    <t>Null (no valid data)</t>
  </si>
  <si>
    <t>vbInteger</t>
  </si>
  <si>
    <t>Integer</t>
  </si>
  <si>
    <t>vbLong</t>
  </si>
  <si>
    <t>Long integer</t>
  </si>
  <si>
    <t>vbSingle</t>
  </si>
  <si>
    <t>Single-precision floating-point number</t>
  </si>
  <si>
    <t>vbDouble</t>
  </si>
  <si>
    <t>Double-precision floating-point number</t>
  </si>
  <si>
    <t>vbCurrency</t>
  </si>
  <si>
    <t>Currency value</t>
  </si>
  <si>
    <t>vbDate</t>
  </si>
  <si>
    <t>Date value</t>
  </si>
  <si>
    <t>vbString</t>
  </si>
  <si>
    <t>String</t>
  </si>
  <si>
    <t>vbObject</t>
  </si>
  <si>
    <t>Object</t>
  </si>
  <si>
    <t>vbError</t>
  </si>
  <si>
    <t>Error value</t>
  </si>
  <si>
    <t>vbBoolean</t>
  </si>
  <si>
    <t>Boolean value</t>
  </si>
  <si>
    <t>vbVariant</t>
  </si>
  <si>
    <t>Variant (used only with arrays of variants)</t>
  </si>
  <si>
    <t>vbDataObject</t>
  </si>
  <si>
    <t>A data access object</t>
  </si>
  <si>
    <t>vbDecimal</t>
  </si>
  <si>
    <t>Decimal value</t>
  </si>
  <si>
    <t>vbByte</t>
  </si>
  <si>
    <t>Byte value</t>
  </si>
  <si>
    <t>vbLongLong</t>
  </si>
  <si>
    <t>LongLong integer (Valid on 64-bit platforms only.)</t>
  </si>
  <si>
    <t>vbUserDefinedType</t>
  </si>
  <si>
    <t>Variants that contain user-defined types</t>
  </si>
  <si>
    <t>vbArray</t>
  </si>
  <si>
    <t>Array</t>
  </si>
  <si>
    <t>Variant Subtype Constants</t>
  </si>
  <si>
    <t>=Index!$A$1:$A$12</t>
  </si>
  <si>
    <t>='GUID Dictionary'!$B$1:$B$11</t>
  </si>
  <si>
    <t>VariantSubtypeConstants_ByDecValue_Details</t>
  </si>
  <si>
    <t>='Variant Subtype Constants'!$B$2:$F$24</t>
  </si>
  <si>
    <t>VariantSubtypeConstants_ByDecValue_Labels</t>
  </si>
  <si>
    <t>='Variant Subtype Constants'!$B$1:$F$1</t>
  </si>
  <si>
    <t>VariantSubtypeConstants_ByHexValue_Details</t>
  </si>
  <si>
    <t>='Variant Subtype Constants'!$C$2:$F$24</t>
  </si>
  <si>
    <t>VariantSubtypeConstants_ByHexValue_Labels</t>
  </si>
  <si>
    <t>='Variant Subtype Constants'!$C$1:$F$1</t>
  </si>
  <si>
    <t>VariantSubtypeConstants_BySymbolName_Details</t>
  </si>
  <si>
    <t>='Variant Subtype Constants'!$A$2:$E$24</t>
  </si>
  <si>
    <t>VariantSubtypeConstants_BySymbolName_Labels</t>
  </si>
  <si>
    <t>='Variant Subtype Constants'!$A$1:$E$1</t>
  </si>
  <si>
    <t>Count</t>
  </si>
  <si>
    <t>#</t>
  </si>
  <si>
    <t>Substrings</t>
  </si>
  <si>
    <t>AnyCSV Test Cases</t>
  </si>
  <si>
    <t>Inventory VBA Module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</si>
</sst>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hh:mm:ss"/>
  </numFmts>
  <fonts count="26" x14ac:knownFonts="1">
    <font>
      <sz val="11"/>
      <color theme="1"/>
      <name val="Consolas"/>
      <family val="2"/>
    </font>
    <font>
      <b/>
      <sz val="14"/>
      <color theme="1"/>
      <name val="Tahoma"/>
      <family val="2"/>
    </font>
    <font>
      <sz val="11"/>
      <color theme="1"/>
      <name val="Tahoma"/>
      <family val="2"/>
    </font>
    <font>
      <u/>
      <sz val="11"/>
      <color theme="10"/>
      <name val="Consolas"/>
      <family val="2"/>
    </font>
    <font>
      <sz val="11"/>
      <color theme="10"/>
      <name val="Consolas"/>
      <family val="2"/>
    </font>
    <font>
      <b/>
      <sz val="14"/>
      <color theme="9" tint="-0.499984740745262"/>
      <name val="Tahoma"/>
      <family val="2"/>
    </font>
    <font>
      <sz val="8"/>
      <color theme="1"/>
      <name val="Consolas"/>
      <family val="2"/>
    </font>
    <font>
      <b/>
      <sz val="14"/>
      <color theme="0"/>
      <name val="Tahoma"/>
      <family val="2"/>
    </font>
    <font>
      <b/>
      <sz val="12"/>
      <color indexed="43"/>
      <name val="Tahoma"/>
      <family val="2"/>
    </font>
    <font>
      <u/>
      <sz val="11"/>
      <color theme="10"/>
      <name val="Calibri"/>
      <family val="2"/>
      <scheme val="minor"/>
    </font>
    <font>
      <sz val="11"/>
      <color theme="1"/>
      <name val="Calibri"/>
      <family val="2"/>
      <scheme val="minor"/>
    </font>
    <font>
      <sz val="10"/>
      <name val="Consolas"/>
      <family val="3"/>
    </font>
    <font>
      <b/>
      <sz val="11"/>
      <name val="Tahoma"/>
      <family val="2"/>
    </font>
    <font>
      <b/>
      <sz val="14"/>
      <color rgb="FFFFC000"/>
      <name val="Tahoma"/>
      <family val="2"/>
    </font>
    <font>
      <b/>
      <sz val="11"/>
      <color rgb="FFFFFF00"/>
      <name val="Tahoma"/>
      <family val="2"/>
    </font>
    <font>
      <b/>
      <sz val="14"/>
      <color rgb="FFFFFF00"/>
      <name val="Tahoma"/>
      <family val="2"/>
    </font>
    <font>
      <b/>
      <sz val="14"/>
      <color theme="5" tint="-0.499984740745262"/>
      <name val="Tahoma"/>
      <family val="2"/>
    </font>
    <font>
      <b/>
      <sz val="12"/>
      <color rgb="FFFFFF00"/>
      <name val="Tahoma"/>
      <family val="2"/>
    </font>
    <font>
      <b/>
      <sz val="14"/>
      <color theme="2" tint="-0.89996032593768116"/>
      <name val="Tahoma"/>
      <family val="2"/>
    </font>
    <font>
      <sz val="11"/>
      <color theme="1"/>
      <name val="Consolas"/>
      <family val="2"/>
    </font>
    <font>
      <sz val="11"/>
      <name val="Courier New"/>
      <family val="3"/>
    </font>
    <font>
      <b/>
      <sz val="12"/>
      <color theme="0"/>
      <name val="Tahoma"/>
      <family val="2"/>
    </font>
    <font>
      <sz val="11"/>
      <name val="Consolas"/>
      <family val="3"/>
    </font>
    <font>
      <sz val="11"/>
      <name val="Tahoma"/>
      <family val="2"/>
    </font>
    <font>
      <b/>
      <sz val="14"/>
      <color theme="2" tint="-0.749961851863155"/>
      <name val="Tahoma"/>
      <family val="2"/>
    </font>
    <font>
      <b/>
      <sz val="18"/>
      <color theme="2" tint="-0.499984740745262"/>
      <name val="Tahoma"/>
      <family val="2"/>
    </font>
  </fonts>
  <fills count="17">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1" tint="0.24994659260841701"/>
        <bgColor indexed="64"/>
      </patternFill>
    </fill>
    <fill>
      <patternFill patternType="solid">
        <fgColor indexed="18"/>
        <bgColor indexed="64"/>
      </patternFill>
    </fill>
    <fill>
      <patternFill patternType="solid">
        <fgColor rgb="FF002060"/>
        <bgColor indexed="64"/>
      </patternFill>
    </fill>
    <fill>
      <patternFill patternType="solid">
        <fgColor rgb="FF7030A0"/>
        <bgColor indexed="64"/>
      </patternFill>
    </fill>
    <fill>
      <patternFill patternType="solid">
        <fgColor theme="2" tint="-0.499984740745262"/>
        <bgColor indexed="64"/>
      </patternFill>
    </fill>
    <fill>
      <patternFill patternType="solid">
        <fgColor theme="2" tint="-0.749961851863155"/>
        <bgColor indexed="64"/>
      </patternFill>
    </fill>
    <fill>
      <patternFill patternType="solid">
        <fgColor rgb="FF0070C0"/>
        <bgColor indexed="64"/>
      </patternFill>
    </fill>
    <fill>
      <patternFill patternType="solid">
        <fgColor theme="8"/>
        <bgColor theme="8"/>
      </patternFill>
    </fill>
    <fill>
      <patternFill patternType="solid">
        <fgColor theme="8" tint="0.79998168889431442"/>
        <bgColor theme="8" tint="0.79998168889431442"/>
      </patternFill>
    </fill>
    <fill>
      <patternFill patternType="solid">
        <fgColor theme="2" tint="-9.9948118533890809E-2"/>
        <bgColor indexed="64"/>
      </patternFill>
    </fill>
    <fill>
      <patternFill patternType="solid">
        <fgColor theme="0" tint="-0.499984740745262"/>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style="thin">
        <color theme="0"/>
      </top>
      <bottom style="thin">
        <color theme="1" tint="0.24994659260841701"/>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style="thin">
        <color rgb="FFFFC000"/>
      </bottom>
      <diagonal/>
    </border>
    <border>
      <left/>
      <right/>
      <top style="thin">
        <color rgb="FFFFC000"/>
      </top>
      <bottom style="thin">
        <color rgb="FFFFC000"/>
      </bottom>
      <diagonal/>
    </border>
    <border>
      <left/>
      <right style="thin">
        <color rgb="FFFFC000"/>
      </right>
      <top style="thin">
        <color rgb="FFFFC000"/>
      </top>
      <bottom style="thin">
        <color rgb="FFFFC000"/>
      </bottom>
      <diagonal/>
    </border>
    <border>
      <left style="thin">
        <color rgb="FF002060"/>
      </left>
      <right style="thin">
        <color rgb="FF002060"/>
      </right>
      <top style="thin">
        <color rgb="FFFFC000"/>
      </top>
      <bottom style="thin">
        <color rgb="FF002060"/>
      </bottom>
      <diagonal/>
    </border>
    <border>
      <left style="thin">
        <color rgb="FF002060"/>
      </left>
      <right style="thin">
        <color rgb="FF002060"/>
      </right>
      <top style="thin">
        <color rgb="FF002060"/>
      </top>
      <bottom style="thin">
        <color rgb="FF002060"/>
      </bottom>
      <diagonal/>
    </border>
    <border>
      <left style="thin">
        <color rgb="FF002060"/>
      </left>
      <right style="thin">
        <color rgb="FF002060"/>
      </right>
      <top/>
      <bottom style="thin">
        <color rgb="FF002060"/>
      </bottom>
      <diagonal/>
    </border>
    <border>
      <left style="thin">
        <color rgb="FF002060"/>
      </left>
      <right style="thin">
        <color rgb="FF7030A0"/>
      </right>
      <top style="thin">
        <color rgb="FFFFC000"/>
      </top>
      <bottom/>
      <diagonal/>
    </border>
    <border>
      <left style="thin">
        <color rgb="FF002060"/>
      </left>
      <right style="thin">
        <color rgb="FF7030A0"/>
      </right>
      <top/>
      <bottom style="thin">
        <color rgb="FF002060"/>
      </bottom>
      <diagonal/>
    </border>
    <border>
      <left style="thin">
        <color rgb="FF002060"/>
      </left>
      <right style="thin">
        <color rgb="FF7030A0"/>
      </right>
      <top style="thin">
        <color rgb="FF002060"/>
      </top>
      <bottom style="thin">
        <color rgb="FF002060"/>
      </bottom>
      <diagonal/>
    </border>
    <border>
      <left style="thin">
        <color rgb="FF7030A0"/>
      </left>
      <right style="thin">
        <color rgb="FF7030A0"/>
      </right>
      <top style="thin">
        <color rgb="FFFFC000"/>
      </top>
      <bottom style="thin">
        <color rgb="FF7030A0"/>
      </bottom>
      <diagonal/>
    </border>
    <border>
      <left style="thin">
        <color rgb="FF7030A0"/>
      </left>
      <right style="thin">
        <color rgb="FF7030A0"/>
      </right>
      <top style="thin">
        <color rgb="FF7030A0"/>
      </top>
      <bottom style="thin">
        <color rgb="FF7030A0"/>
      </bottom>
      <diagonal/>
    </border>
    <border>
      <left style="thin">
        <color rgb="FFFFFF00"/>
      </left>
      <right style="thin">
        <color rgb="FFFFFF00"/>
      </right>
      <top style="thin">
        <color rgb="FFFFFF00"/>
      </top>
      <bottom style="thin">
        <color rgb="FFFFFF00"/>
      </bottom>
      <diagonal/>
    </border>
    <border>
      <left style="thin">
        <color theme="2" tint="-0.749961851863155"/>
      </left>
      <right style="thin">
        <color theme="2" tint="-0.749961851863155"/>
      </right>
      <top style="thin">
        <color rgb="FFFFFF00"/>
      </top>
      <bottom style="thin">
        <color theme="2" tint="-0.749961851863155"/>
      </bottom>
      <diagonal/>
    </border>
    <border>
      <left style="thin">
        <color theme="2" tint="-0.749961851863155"/>
      </left>
      <right style="thin">
        <color theme="2" tint="-0.749961851863155"/>
      </right>
      <top style="thin">
        <color theme="2" tint="-0.749961851863155"/>
      </top>
      <bottom style="thin">
        <color theme="2" tint="-0.749961851863155"/>
      </bottom>
      <diagonal/>
    </border>
    <border>
      <left style="thin">
        <color theme="2" tint="-0.749961851863155"/>
      </left>
      <right style="thin">
        <color theme="2" tint="-0.749961851863155"/>
      </right>
      <top style="thin">
        <color theme="2" tint="-0.749961851863155"/>
      </top>
      <bottom/>
      <diagonal/>
    </border>
    <border>
      <left style="thin">
        <color rgb="FFFFFF00"/>
      </left>
      <right/>
      <top style="thin">
        <color rgb="FFFFFF00"/>
      </top>
      <bottom style="thin">
        <color rgb="FFFFFF00"/>
      </bottom>
      <diagonal/>
    </border>
    <border>
      <left/>
      <right style="thin">
        <color rgb="FFFFFF00"/>
      </right>
      <top style="thin">
        <color rgb="FFFFFF00"/>
      </top>
      <bottom style="thin">
        <color rgb="FFFFFF00"/>
      </bottom>
      <diagonal/>
    </border>
    <border>
      <left style="thin">
        <color rgb="FFFFFF00"/>
      </left>
      <right/>
      <top/>
      <bottom/>
      <diagonal/>
    </border>
    <border>
      <left style="thin">
        <color rgb="FF0070C0"/>
      </left>
      <right style="thin">
        <color rgb="FF0070C0"/>
      </right>
      <top style="thin">
        <color rgb="FFFFC000"/>
      </top>
      <bottom style="thin">
        <color rgb="FF0070C0"/>
      </bottom>
      <diagonal/>
    </border>
    <border>
      <left style="thin">
        <color rgb="FF0070C0"/>
      </left>
      <right style="thin">
        <color rgb="FF0070C0"/>
      </right>
      <top style="thin">
        <color rgb="FF0070C0"/>
      </top>
      <bottom style="thin">
        <color rgb="FF0070C0"/>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5" tint="-0.499984740745262"/>
      </left>
      <right/>
      <top style="thin">
        <color theme="5" tint="-0.499984740745262"/>
      </top>
      <bottom style="thin">
        <color theme="5" tint="-0.499984740745262"/>
      </bottom>
      <diagonal/>
    </border>
    <border>
      <left/>
      <right/>
      <top style="thin">
        <color theme="5" tint="-0.499984740745262"/>
      </top>
      <bottom style="thin">
        <color theme="5" tint="-0.499984740745262"/>
      </bottom>
      <diagonal/>
    </border>
    <border>
      <left/>
      <right style="thin">
        <color theme="5" tint="-0.499984740745262"/>
      </right>
      <top style="thin">
        <color theme="5" tint="-0.499984740745262"/>
      </top>
      <bottom style="thin">
        <color theme="5" tint="-0.499984740745262"/>
      </bottom>
      <diagonal/>
    </border>
    <border>
      <left style="thin">
        <color theme="5" tint="-0.499984740745262"/>
      </left>
      <right style="thin">
        <color theme="5" tint="-0.499984740745262"/>
      </right>
      <top style="thin">
        <color theme="5" tint="-0.499984740745262"/>
      </top>
      <bottom/>
      <diagonal/>
    </border>
    <border>
      <left style="thin">
        <color theme="5" tint="-0.499984740745262"/>
      </left>
      <right style="thin">
        <color theme="5" tint="-0.499984740745262"/>
      </right>
      <top/>
      <bottom style="thin">
        <color theme="5" tint="-0.499984740745262"/>
      </bottom>
      <diagonal/>
    </border>
    <border>
      <left style="thin">
        <color rgb="FFFFFF00"/>
      </left>
      <right style="thin">
        <color rgb="FFFFFF00"/>
      </right>
      <top style="thin">
        <color rgb="FFFFFF00"/>
      </top>
      <bottom/>
      <diagonal/>
    </border>
    <border>
      <left style="thin">
        <color rgb="FFFFFF00"/>
      </left>
      <right style="thin">
        <color rgb="FFFFFF00"/>
      </right>
      <top/>
      <bottom style="thin">
        <color rgb="FFFFFF00"/>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diagonal/>
    </border>
    <border>
      <left/>
      <right/>
      <top style="thin">
        <color theme="8" tint="0.39997558519241921"/>
      </top>
      <bottom/>
      <diagonal/>
    </border>
    <border>
      <left/>
      <right style="thin">
        <color theme="8" tint="0.39997558519241921"/>
      </right>
      <top style="thin">
        <color theme="8" tint="0.39997558519241921"/>
      </top>
      <bottom/>
      <diagonal/>
    </border>
    <border>
      <left style="thin">
        <color theme="2" tint="-0.89992980742820516"/>
      </left>
      <right style="thin">
        <color theme="2" tint="-0.89992980742820516"/>
      </right>
      <top style="thin">
        <color theme="2" tint="-0.89992980742820516"/>
      </top>
      <bottom style="thin">
        <color theme="2" tint="-0.89992980742820516"/>
      </bottom>
      <diagonal/>
    </border>
    <border>
      <left style="thin">
        <color theme="2" tint="-0.89996032593768116"/>
      </left>
      <right style="thin">
        <color theme="2" tint="-0.89996032593768116"/>
      </right>
      <top style="thin">
        <color theme="2" tint="-0.89996032593768116"/>
      </top>
      <bottom/>
      <diagonal/>
    </border>
    <border>
      <left style="thin">
        <color theme="0"/>
      </left>
      <right style="thin">
        <color theme="0"/>
      </right>
      <top style="thin">
        <color theme="0"/>
      </top>
      <bottom/>
      <diagonal/>
    </border>
  </borders>
  <cellStyleXfs count="10">
    <xf numFmtId="0" fontId="0" fillId="0" borderId="0"/>
    <xf numFmtId="0" fontId="3" fillId="0" borderId="0" applyNumberFormat="0" applyFill="0" applyBorder="0" applyAlignment="0" applyProtection="0"/>
    <xf numFmtId="0" fontId="8" fillId="7" borderId="1"/>
    <xf numFmtId="0" fontId="9" fillId="0" borderId="0" applyNumberFormat="0" applyFill="0" applyBorder="0" applyAlignment="0" applyProtection="0"/>
    <xf numFmtId="0" fontId="10" fillId="0" borderId="0"/>
    <xf numFmtId="0" fontId="11" fillId="0" borderId="0"/>
    <xf numFmtId="0" fontId="12" fillId="0" borderId="0"/>
    <xf numFmtId="0" fontId="20" fillId="0" borderId="0"/>
    <xf numFmtId="0" fontId="3" fillId="0" borderId="0" applyNumberFormat="0" applyFill="0" applyBorder="0" applyAlignment="0" applyProtection="0"/>
    <xf numFmtId="0" fontId="19" fillId="0" borderId="0"/>
  </cellStyleXfs>
  <cellXfs count="106">
    <xf numFmtId="0" fontId="0" fillId="0" borderId="0" xfId="0"/>
    <xf numFmtId="0" fontId="1" fillId="0" borderId="0" xfId="0" applyFont="1" applyBorder="1" applyAlignment="1">
      <alignment vertical="top"/>
    </xf>
    <xf numFmtId="0" fontId="1" fillId="0" borderId="1" xfId="0" applyFont="1" applyBorder="1"/>
    <xf numFmtId="0" fontId="2" fillId="0" borderId="1" xfId="0" applyFont="1" applyBorder="1" applyAlignment="1">
      <alignment vertical="top"/>
    </xf>
    <xf numFmtId="0" fontId="2" fillId="0" borderId="1" xfId="0" applyFont="1" applyBorder="1" applyAlignment="1">
      <alignment vertical="top" wrapText="1"/>
    </xf>
    <xf numFmtId="0" fontId="4" fillId="0" borderId="1" xfId="1" applyFont="1" applyBorder="1" applyAlignment="1">
      <alignment vertical="top" wrapText="1"/>
    </xf>
    <xf numFmtId="22" fontId="0" fillId="0" borderId="0" xfId="0" applyNumberFormat="1"/>
    <xf numFmtId="0" fontId="5" fillId="5" borderId="2" xfId="0" applyFont="1" applyFill="1" applyBorder="1"/>
    <xf numFmtId="0" fontId="5" fillId="5" borderId="2" xfId="0" applyFont="1" applyFill="1" applyBorder="1" applyAlignment="1">
      <alignment horizontal="right"/>
    </xf>
    <xf numFmtId="3" fontId="0" fillId="0" borderId="2" xfId="0" applyNumberFormat="1" applyBorder="1"/>
    <xf numFmtId="164" fontId="0" fillId="0" borderId="2" xfId="0" applyNumberFormat="1" applyBorder="1"/>
    <xf numFmtId="0" fontId="6" fillId="0" borderId="2" xfId="0" applyFont="1" applyBorder="1"/>
    <xf numFmtId="3" fontId="0" fillId="0" borderId="3" xfId="0" applyNumberFormat="1" applyBorder="1" applyAlignment="1">
      <alignment vertical="top"/>
    </xf>
    <xf numFmtId="0" fontId="0" fillId="0" borderId="3" xfId="0" applyBorder="1" applyAlignment="1">
      <alignment vertical="top"/>
    </xf>
    <xf numFmtId="3" fontId="0" fillId="0" borderId="4" xfId="0" applyNumberFormat="1" applyBorder="1" applyAlignment="1">
      <alignment vertical="top"/>
    </xf>
    <xf numFmtId="0" fontId="0" fillId="0" borderId="4" xfId="0" applyBorder="1" applyAlignment="1">
      <alignment vertical="top"/>
    </xf>
    <xf numFmtId="0" fontId="7" fillId="6" borderId="5" xfId="0" applyFont="1" applyFill="1" applyBorder="1"/>
    <xf numFmtId="0" fontId="3" fillId="0" borderId="0" xfId="1"/>
    <xf numFmtId="0" fontId="13" fillId="8" borderId="11" xfId="0" applyFont="1" applyFill="1" applyBorder="1"/>
    <xf numFmtId="0" fontId="0" fillId="0" borderId="15" xfId="0" applyBorder="1"/>
    <xf numFmtId="0" fontId="0" fillId="0" borderId="16" xfId="0" applyBorder="1"/>
    <xf numFmtId="0" fontId="0" fillId="0" borderId="17" xfId="0" applyBorder="1"/>
    <xf numFmtId="0" fontId="13" fillId="9" borderId="11" xfId="0" applyFont="1" applyFill="1"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15" fillId="11" borderId="23" xfId="0" applyFont="1" applyFill="1" applyBorder="1"/>
    <xf numFmtId="0" fontId="0" fillId="0" borderId="24" xfId="0" applyBorder="1"/>
    <xf numFmtId="0" fontId="0" fillId="0" borderId="25" xfId="0" applyBorder="1"/>
    <xf numFmtId="0" fontId="0" fillId="0" borderId="26" xfId="0" applyBorder="1"/>
    <xf numFmtId="0" fontId="0" fillId="0" borderId="24" xfId="0" applyBorder="1" applyAlignment="1">
      <alignment vertical="top"/>
    </xf>
    <xf numFmtId="0" fontId="15" fillId="11" borderId="23" xfId="0" applyFont="1" applyFill="1" applyBorder="1" applyAlignment="1">
      <alignment vertical="top"/>
    </xf>
    <xf numFmtId="164" fontId="0" fillId="0" borderId="3" xfId="0" applyNumberFormat="1" applyBorder="1" applyAlignment="1">
      <alignment horizontal="left" vertical="top"/>
    </xf>
    <xf numFmtId="0" fontId="13" fillId="12" borderId="11" xfId="0" applyFont="1" applyFill="1" applyBorder="1"/>
    <xf numFmtId="0" fontId="0" fillId="0" borderId="30" xfId="0" applyBorder="1" applyAlignment="1">
      <alignment vertical="top"/>
    </xf>
    <xf numFmtId="0" fontId="2" fillId="0" borderId="30" xfId="0" applyFont="1" applyBorder="1" applyAlignment="1">
      <alignment vertical="top" wrapText="1"/>
    </xf>
    <xf numFmtId="0" fontId="0" fillId="0" borderId="31" xfId="0" applyBorder="1" applyAlignment="1">
      <alignment vertical="top"/>
    </xf>
    <xf numFmtId="0" fontId="2" fillId="0" borderId="31" xfId="0" applyFont="1" applyBorder="1" applyAlignment="1">
      <alignment vertical="top" wrapText="1"/>
    </xf>
    <xf numFmtId="0" fontId="0" fillId="0" borderId="31" xfId="0" applyBorder="1" applyAlignment="1">
      <alignment vertical="top" wrapText="1"/>
    </xf>
    <xf numFmtId="0" fontId="16" fillId="2" borderId="32" xfId="0" applyFont="1" applyFill="1" applyBorder="1"/>
    <xf numFmtId="0" fontId="16" fillId="2" borderId="32" xfId="0" applyFont="1" applyFill="1" applyBorder="1" applyAlignment="1">
      <alignment horizontal="right"/>
    </xf>
    <xf numFmtId="0" fontId="0" fillId="0" borderId="32" xfId="0" applyFill="1" applyBorder="1"/>
    <xf numFmtId="0" fontId="2" fillId="0" borderId="32" xfId="0" applyFont="1" applyFill="1" applyBorder="1"/>
    <xf numFmtId="164" fontId="0" fillId="0" borderId="4" xfId="0" applyNumberFormat="1" applyBorder="1" applyAlignment="1">
      <alignment horizontal="left" vertical="top"/>
    </xf>
    <xf numFmtId="0" fontId="6" fillId="0" borderId="24" xfId="0" applyFont="1" applyBorder="1"/>
    <xf numFmtId="0" fontId="0" fillId="0" borderId="0" xfId="0" applyAlignment="1">
      <alignment vertical="top"/>
    </xf>
    <xf numFmtId="0" fontId="2" fillId="0" borderId="0" xfId="0" applyFont="1" applyAlignment="1">
      <alignment vertical="top" wrapText="1"/>
    </xf>
    <xf numFmtId="0" fontId="0" fillId="0" borderId="40" xfId="0" applyFont="1" applyBorder="1" applyAlignment="1">
      <alignment vertical="top"/>
    </xf>
    <xf numFmtId="0" fontId="0" fillId="0" borderId="41" xfId="0" applyFont="1" applyBorder="1" applyAlignment="1">
      <alignment vertical="top"/>
    </xf>
    <xf numFmtId="0" fontId="2" fillId="0" borderId="42" xfId="0" applyFont="1" applyBorder="1" applyAlignment="1">
      <alignment vertical="top" wrapText="1"/>
    </xf>
    <xf numFmtId="0" fontId="7" fillId="13" borderId="43" xfId="0" applyFont="1" applyFill="1" applyBorder="1" applyAlignment="1">
      <alignment vertical="top"/>
    </xf>
    <xf numFmtId="0" fontId="7" fillId="13" borderId="44" xfId="0" applyFont="1" applyFill="1" applyBorder="1" applyAlignment="1">
      <alignment vertical="top"/>
    </xf>
    <xf numFmtId="0" fontId="7" fillId="13" borderId="45" xfId="0" applyFont="1" applyFill="1" applyBorder="1" applyAlignment="1">
      <alignment vertical="top"/>
    </xf>
    <xf numFmtId="0" fontId="0" fillId="14" borderId="43" xfId="0" applyFont="1" applyFill="1" applyBorder="1" applyAlignment="1">
      <alignment vertical="top"/>
    </xf>
    <xf numFmtId="0" fontId="0" fillId="14" borderId="44" xfId="0" applyFont="1" applyFill="1" applyBorder="1" applyAlignment="1">
      <alignment vertical="top"/>
    </xf>
    <xf numFmtId="0" fontId="2" fillId="14" borderId="45" xfId="0" applyFont="1" applyFill="1" applyBorder="1" applyAlignment="1">
      <alignment vertical="top" wrapText="1"/>
    </xf>
    <xf numFmtId="0" fontId="0" fillId="0" borderId="43" xfId="0" applyFont="1" applyBorder="1" applyAlignment="1">
      <alignment vertical="top"/>
    </xf>
    <xf numFmtId="0" fontId="0" fillId="0" borderId="44" xfId="0" applyFont="1" applyBorder="1" applyAlignment="1">
      <alignment vertical="top"/>
    </xf>
    <xf numFmtId="0" fontId="2" fillId="0" borderId="45" xfId="0" applyFont="1" applyBorder="1" applyAlignment="1">
      <alignment vertical="top" wrapText="1"/>
    </xf>
    <xf numFmtId="0" fontId="17" fillId="10" borderId="0" xfId="0" applyFont="1" applyFill="1" applyAlignment="1">
      <alignment vertical="top"/>
    </xf>
    <xf numFmtId="0" fontId="18" fillId="15" borderId="47" xfId="0" applyFont="1" applyFill="1" applyBorder="1"/>
    <xf numFmtId="0" fontId="18" fillId="15" borderId="47" xfId="0" applyFont="1" applyFill="1" applyBorder="1" applyAlignment="1">
      <alignment horizontal="right"/>
    </xf>
    <xf numFmtId="0" fontId="0" fillId="0" borderId="46" xfId="0" applyBorder="1" applyAlignment="1">
      <alignment vertical="top"/>
    </xf>
    <xf numFmtId="0" fontId="2" fillId="0" borderId="46" xfId="0" applyFont="1" applyBorder="1" applyAlignment="1">
      <alignment vertical="top" wrapText="1"/>
    </xf>
    <xf numFmtId="3" fontId="0" fillId="0" borderId="46" xfId="0" applyNumberFormat="1" applyBorder="1" applyAlignment="1">
      <alignment vertical="top"/>
    </xf>
    <xf numFmtId="164" fontId="0" fillId="0" borderId="46" xfId="0" applyNumberFormat="1" applyBorder="1" applyAlignment="1">
      <alignment vertical="top"/>
    </xf>
    <xf numFmtId="0" fontId="6" fillId="0" borderId="46" xfId="0" applyFont="1" applyBorder="1" applyAlignment="1">
      <alignment vertical="top"/>
    </xf>
    <xf numFmtId="0" fontId="21" fillId="8" borderId="48" xfId="7" applyFont="1" applyFill="1" applyBorder="1"/>
    <xf numFmtId="0" fontId="20" fillId="0" borderId="0" xfId="7"/>
    <xf numFmtId="0" fontId="22" fillId="0" borderId="16" xfId="7" applyFont="1" applyBorder="1"/>
    <xf numFmtId="0" fontId="23" fillId="0" borderId="16" xfId="7" applyFont="1" applyBorder="1"/>
    <xf numFmtId="0" fontId="22" fillId="16" borderId="16" xfId="7" applyFont="1" applyFill="1" applyBorder="1"/>
    <xf numFmtId="0" fontId="23" fillId="16" borderId="16" xfId="7" applyFont="1" applyFill="1" applyBorder="1"/>
    <xf numFmtId="0" fontId="0" fillId="0" borderId="1" xfId="0" applyBorder="1"/>
    <xf numFmtId="0" fontId="3" fillId="0" borderId="6" xfId="1" applyBorder="1" applyAlignment="1">
      <alignment horizontal="left" vertical="top"/>
    </xf>
    <xf numFmtId="0" fontId="3" fillId="0" borderId="7" xfId="1" applyBorder="1" applyAlignment="1">
      <alignment horizontal="left" vertical="top"/>
    </xf>
    <xf numFmtId="0" fontId="3" fillId="0" borderId="8" xfId="1" applyBorder="1" applyAlignment="1">
      <alignment horizontal="left" vertical="top"/>
    </xf>
    <xf numFmtId="0" fontId="1" fillId="0" borderId="9" xfId="0" applyFont="1" applyBorder="1" applyAlignment="1">
      <alignment vertical="top"/>
    </xf>
    <xf numFmtId="0" fontId="1" fillId="0" borderId="10" xfId="0" applyFont="1" applyBorder="1" applyAlignment="1">
      <alignment vertical="top"/>
    </xf>
    <xf numFmtId="0" fontId="0" fillId="2" borderId="9" xfId="0" applyFill="1" applyBorder="1" applyAlignment="1">
      <alignment vertical="top"/>
    </xf>
    <xf numFmtId="0" fontId="0" fillId="2" borderId="10" xfId="0" applyFill="1" applyBorder="1" applyAlignment="1">
      <alignment vertical="top"/>
    </xf>
    <xf numFmtId="0" fontId="0" fillId="3" borderId="9" xfId="0" applyFill="1" applyBorder="1" applyAlignment="1">
      <alignment vertical="top"/>
    </xf>
    <xf numFmtId="0" fontId="0" fillId="3" borderId="10" xfId="0" applyFill="1" applyBorder="1" applyAlignment="1">
      <alignment vertical="top"/>
    </xf>
    <xf numFmtId="0" fontId="0" fillId="4" borderId="9" xfId="0" applyFill="1" applyBorder="1" applyAlignment="1">
      <alignment vertical="top"/>
    </xf>
    <xf numFmtId="0" fontId="0" fillId="4" borderId="10" xfId="0" applyFill="1" applyBorder="1" applyAlignment="1">
      <alignment vertical="top"/>
    </xf>
    <xf numFmtId="0" fontId="16" fillId="2" borderId="33" xfId="0" applyFont="1" applyFill="1" applyBorder="1" applyAlignment="1">
      <alignment horizontal="center"/>
    </xf>
    <xf numFmtId="0" fontId="16" fillId="2" borderId="34" xfId="0" applyFont="1" applyFill="1" applyBorder="1" applyAlignment="1">
      <alignment horizontal="center"/>
    </xf>
    <xf numFmtId="0" fontId="16" fillId="2" borderId="35" xfId="0" applyFont="1" applyFill="1" applyBorder="1" applyAlignment="1">
      <alignment horizontal="center"/>
    </xf>
    <xf numFmtId="0" fontId="16" fillId="2" borderId="36" xfId="0" applyFont="1" applyFill="1" applyBorder="1"/>
    <xf numFmtId="0" fontId="16" fillId="2" borderId="37" xfId="0" applyFont="1" applyFill="1" applyBorder="1"/>
    <xf numFmtId="0" fontId="14" fillId="10" borderId="29" xfId="0" applyFont="1" applyFill="1" applyBorder="1" applyAlignment="1">
      <alignment horizontal="center"/>
    </xf>
    <xf numFmtId="0" fontId="14" fillId="10" borderId="0" xfId="0" applyFont="1" applyFill="1" applyBorder="1" applyAlignment="1">
      <alignment horizontal="center"/>
    </xf>
    <xf numFmtId="0" fontId="15" fillId="11" borderId="38" xfId="0" applyFont="1" applyFill="1" applyBorder="1"/>
    <xf numFmtId="0" fontId="15" fillId="11" borderId="39" xfId="0" applyFont="1" applyFill="1" applyBorder="1"/>
    <xf numFmtId="0" fontId="15" fillId="11" borderId="27" xfId="0" applyFont="1" applyFill="1" applyBorder="1" applyAlignment="1">
      <alignment horizontal="center"/>
    </xf>
    <xf numFmtId="0" fontId="15" fillId="11" borderId="28" xfId="0" applyFont="1" applyFill="1" applyBorder="1" applyAlignment="1">
      <alignment horizontal="center"/>
    </xf>
    <xf numFmtId="0" fontId="13" fillId="8" borderId="12" xfId="0" applyFont="1" applyFill="1" applyBorder="1" applyAlignment="1">
      <alignment horizontal="center"/>
    </xf>
    <xf numFmtId="0" fontId="13" fillId="8" borderId="13" xfId="0" applyFont="1" applyFill="1" applyBorder="1" applyAlignment="1">
      <alignment horizontal="center"/>
    </xf>
    <xf numFmtId="0" fontId="13" fillId="8" borderId="14" xfId="0" applyFont="1" applyFill="1" applyBorder="1" applyAlignment="1">
      <alignment horizontal="center"/>
    </xf>
    <xf numFmtId="0" fontId="13" fillId="9" borderId="12" xfId="0" applyFont="1" applyFill="1" applyBorder="1" applyAlignment="1">
      <alignment horizontal="center"/>
    </xf>
    <xf numFmtId="0" fontId="13" fillId="9" borderId="13" xfId="0" applyFont="1" applyFill="1" applyBorder="1" applyAlignment="1">
      <alignment horizontal="center"/>
    </xf>
    <xf numFmtId="0" fontId="13" fillId="9" borderId="14" xfId="0" applyFont="1" applyFill="1" applyBorder="1" applyAlignment="1">
      <alignment horizontal="center"/>
    </xf>
    <xf numFmtId="0" fontId="25" fillId="15" borderId="25" xfId="0" applyFont="1" applyFill="1" applyBorder="1" applyAlignment="1">
      <alignment horizontal="center"/>
    </xf>
    <xf numFmtId="0" fontId="24" fillId="15" borderId="25" xfId="0" applyFont="1" applyFill="1" applyBorder="1"/>
  </cellXfs>
  <cellStyles count="10">
    <cellStyle name="Column_Label" xfId="2"/>
    <cellStyle name="Hyperlink" xfId="1" builtinId="8"/>
    <cellStyle name="Hyperlink 2" xfId="3"/>
    <cellStyle name="Hyperlink 3" xfId="8"/>
    <cellStyle name="Normal" xfId="0" builtinId="0"/>
    <cellStyle name="Normal 2" xfId="4"/>
    <cellStyle name="Normal 3" xfId="5"/>
    <cellStyle name="Normal 4" xfId="7"/>
    <cellStyle name="Normal 5" xfId="9"/>
    <cellStyle name="Row_Label" xfId="6"/>
  </cellStyles>
  <dxfs count="35">
    <dxf>
      <font>
        <b/>
        <i val="0"/>
        <color rgb="FFFF0000"/>
      </font>
    </dxf>
    <dxf>
      <font>
        <b/>
        <i val="0"/>
        <color rgb="FFFF0000"/>
      </font>
    </dxf>
    <dxf>
      <fill>
        <patternFill>
          <bgColor theme="6" tint="0.79998168889431442"/>
        </patternFill>
      </fill>
    </dxf>
    <dxf>
      <fill>
        <patternFill>
          <bgColor theme="6" tint="0.79998168889431442"/>
        </patternFill>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patternType="lightTrellis"/>
      </fill>
    </dxf>
    <dxf>
      <fill>
        <patternFill>
          <bgColor theme="5" tint="0.79998168889431442"/>
        </patternFill>
      </fill>
    </dxf>
    <dxf>
      <fill>
        <patternFill>
          <bgColor rgb="FFFFFF99"/>
        </patternFill>
      </fill>
    </dxf>
    <dxf>
      <fill>
        <patternFill>
          <bgColor theme="6" tint="0.59996337778862885"/>
        </patternFill>
      </fill>
    </dxf>
    <dxf>
      <fill>
        <patternFill>
          <bgColor theme="5" tint="0.79998168889431442"/>
        </patternFill>
      </fill>
    </dxf>
    <dxf>
      <fill>
        <patternFill>
          <bgColor rgb="FFFFFF99"/>
        </patternFill>
      </fill>
    </dxf>
    <dxf>
      <fill>
        <patternFill>
          <bgColor theme="6" tint="0.59996337778862885"/>
        </patternFill>
      </fill>
    </dxf>
    <dxf>
      <fill>
        <patternFill>
          <bgColor theme="5" tint="0.79998168889431442"/>
        </patternFill>
      </fill>
    </dxf>
    <dxf>
      <fill>
        <patternFill>
          <bgColor rgb="FFFFFF99"/>
        </patternFill>
      </fill>
    </dxf>
    <dxf>
      <fill>
        <patternFill>
          <bgColor theme="6" tint="0.59996337778862885"/>
        </patternFill>
      </fill>
    </dxf>
    <dxf>
      <fill>
        <patternFill>
          <bgColor theme="5" tint="0.79998168889431442"/>
        </patternFill>
      </fill>
    </dxf>
    <dxf>
      <fill>
        <patternFill>
          <bgColor rgb="FFFFFF99"/>
        </patternFill>
      </fill>
    </dxf>
    <dxf>
      <fill>
        <patternFill>
          <bgColor theme="6" tint="0.59996337778862885"/>
        </patternFill>
      </fill>
    </dxf>
    <dxf>
      <fill>
        <patternFill>
          <bgColor theme="5" tint="0.79998168889431442"/>
        </patternFill>
      </fill>
    </dxf>
    <dxf>
      <fill>
        <patternFill>
          <bgColor rgb="FFFFFF99"/>
        </patternFill>
      </fill>
    </dxf>
    <dxf>
      <fill>
        <patternFill>
          <bgColor theme="6" tint="0.59996337778862885"/>
        </patternFill>
      </fill>
    </dxf>
    <dxf>
      <fill>
        <patternFill>
          <bgColor theme="5" tint="0.79998168889431442"/>
        </patternFill>
      </fill>
    </dxf>
    <dxf>
      <fill>
        <patternFill>
          <bgColor rgb="FFFFFF99"/>
        </patternFill>
      </fill>
    </dxf>
    <dxf>
      <fill>
        <patternFill>
          <bgColor theme="6"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bin/Excel_AddIns/P6CXLSLib3.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StringTests True-False Samples"/>
      <sheetName val="Other Samples"/>
      <sheetName val="VER_STRING_NAME_P6C"/>
    </sheetNames>
    <definedNames>
      <definedName name="dtmFileDateInfo"/>
      <definedName name="GetFile"/>
      <definedName name="GetFolder"/>
      <definedName name="lngFileSize"/>
    </defined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ackoverflow.com/questions/19954001/calling-a-net-library-method-from-v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12"/>
  <sheetViews>
    <sheetView workbookViewId="0">
      <selection activeCell="A4" sqref="A4"/>
    </sheetView>
  </sheetViews>
  <sheetFormatPr defaultRowHeight="15" x14ac:dyDescent="0.25"/>
  <cols>
    <col min="1" max="1" width="32.5" bestFit="1" customWidth="1"/>
  </cols>
  <sheetData>
    <row r="1" spans="1:1" x14ac:dyDescent="0.25">
      <c r="A1" s="17" t="s">
        <v>155</v>
      </c>
    </row>
    <row r="2" spans="1:1" x14ac:dyDescent="0.25">
      <c r="A2" s="17" t="s">
        <v>624</v>
      </c>
    </row>
    <row r="3" spans="1:1" x14ac:dyDescent="0.25">
      <c r="A3" s="17" t="s">
        <v>485</v>
      </c>
    </row>
    <row r="4" spans="1:1" x14ac:dyDescent="0.25">
      <c r="A4" s="17" t="s">
        <v>702</v>
      </c>
    </row>
    <row r="5" spans="1:1" x14ac:dyDescent="0.25">
      <c r="A5" s="17" t="s">
        <v>487</v>
      </c>
    </row>
    <row r="6" spans="1:1" x14ac:dyDescent="0.25">
      <c r="A6" s="17" t="s">
        <v>154</v>
      </c>
    </row>
    <row r="7" spans="1:1" x14ac:dyDescent="0.25">
      <c r="A7" s="17" t="s">
        <v>486</v>
      </c>
    </row>
    <row r="8" spans="1:1" x14ac:dyDescent="0.25">
      <c r="A8" s="17" t="s">
        <v>625</v>
      </c>
    </row>
    <row r="9" spans="1:1" x14ac:dyDescent="0.25">
      <c r="A9" s="17" t="s">
        <v>703</v>
      </c>
    </row>
    <row r="10" spans="1:1" x14ac:dyDescent="0.25">
      <c r="A10" s="17" t="s">
        <v>626</v>
      </c>
    </row>
    <row r="11" spans="1:1" x14ac:dyDescent="0.25">
      <c r="A11" s="17" t="s">
        <v>156</v>
      </c>
    </row>
    <row r="12" spans="1:1" x14ac:dyDescent="0.25">
      <c r="A12" s="17" t="s">
        <v>684</v>
      </c>
    </row>
  </sheetData>
  <sortState caseSensitive="1" ref="A1:A12">
    <sortCondition ref="A1"/>
  </sortState>
  <hyperlinks>
    <hyperlink ref="A1" location="'_Index of Named Ranges'!$A$1" display="_Index of Named Ranges"/>
    <hyperlink ref="A6" location="'Check List'!$A$1" display="Check List"/>
    <hyperlink ref="A2" location="'AnyCSV Character Constants'!$A$1" display="AnyCSV Character Constants"/>
    <hyperlink ref="A3" location="'AnyCSV Resource Strings'!$A$1" display="AnyCSV Resource Strings"/>
    <hyperlink ref="A7" location="'Formats for Equals and ToString'!$A$1" display="Formats for Equals and ToString"/>
    <hyperlink ref="A11" location="Inventory_WizardWrx_DLLServices!$A$1" display="Inventory_WizardWrx_DLLServices"/>
    <hyperlink ref="A10" location="'Inventory_VisualBasic Scripts'!$A$1" display="Inventory_VisualBasic Scripts"/>
    <hyperlink ref="A5" location="'AssemblyPropertyViewer Interfac'!$A$1" display="AssemblyPropertyViewer Interfac"/>
    <hyperlink ref="A4" location="'AnyCSV Test Cases'!$A$1" display="AnyCSV Test Cases"/>
    <hyperlink ref="A8" location="'GUID Dictionary'!$A$1" display="GUID Dictionary"/>
    <hyperlink ref="A9" location="'Inventory VBA Module'!$A$1" display="Inventory VBA Module"/>
    <hyperlink ref="A12" location="'Variant Subtype Constants'!$A$1" display="Variant Subtype Constant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0.89999084444715716"/>
  </sheetPr>
  <dimension ref="A1:H22"/>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5" x14ac:dyDescent="0.25"/>
  <cols>
    <col min="1" max="2" width="46" bestFit="1" customWidth="1"/>
    <col min="3" max="3" width="25.75" bestFit="1" customWidth="1"/>
    <col min="4" max="4" width="24.25" bestFit="1" customWidth="1"/>
    <col min="5" max="5" width="10.875" bestFit="1" customWidth="1"/>
    <col min="6" max="6" width="7.75" bestFit="1" customWidth="1"/>
    <col min="7" max="7" width="11.5" bestFit="1" customWidth="1"/>
    <col min="8" max="8" width="6.875" bestFit="1" customWidth="1"/>
  </cols>
  <sheetData>
    <row r="1" spans="1:8" ht="18" x14ac:dyDescent="0.25">
      <c r="A1" s="16" t="s">
        <v>5</v>
      </c>
      <c r="B1" s="16" t="s">
        <v>153</v>
      </c>
      <c r="C1" s="16" t="s">
        <v>152</v>
      </c>
      <c r="D1" s="16" t="s">
        <v>151</v>
      </c>
      <c r="E1" s="16" t="s">
        <v>150</v>
      </c>
      <c r="F1" s="16" t="s">
        <v>149</v>
      </c>
      <c r="G1" s="16" t="s">
        <v>148</v>
      </c>
      <c r="H1" s="16" t="s">
        <v>147</v>
      </c>
    </row>
    <row r="2" spans="1:8" x14ac:dyDescent="0.25">
      <c r="A2" s="15" t="s">
        <v>157</v>
      </c>
      <c r="B2" s="15" t="s">
        <v>685</v>
      </c>
      <c r="C2" s="15" t="str">
        <f t="shared" ref="C2:C22" ca="1" si="0">IF(LEN($A2)&gt;0,CELL("contents",OFFSET(INDIRECT($A2),0,0)),"")</f>
        <v>_Index of Named Ranges</v>
      </c>
      <c r="D2" s="15" t="str">
        <f t="shared" ref="D2:D22" si="1">IF(LEN($B2)&gt;0,SUBSTITUTE(MID($B2,2,FIND("!",$B2)-2),"'",""),"")</f>
        <v>Index</v>
      </c>
      <c r="E2" s="15" t="str">
        <f t="shared" ref="E2:E22" si="2">IF(LEN($B2)&gt;0,RIGHT($B2,LEN($B2)-FIND("!",$B2)),"")</f>
        <v>$A$1:$A$12</v>
      </c>
      <c r="F2" s="14">
        <f t="shared" ref="F2:F22" ca="1" si="3">IF(LEN($A2)&gt;0,ROWS(INDIRECT($A2)),"")</f>
        <v>12</v>
      </c>
      <c r="G2" s="14">
        <f t="shared" ref="G2:G22" ca="1" si="4">IF(LEN($A2)&gt;0,COLUMNS(INDIRECT($A2)),"")</f>
        <v>1</v>
      </c>
      <c r="H2" s="14">
        <f t="shared" ref="H2:H22" ca="1" si="5">IF(LEN($A2)&gt;0,F2*G2,"")</f>
        <v>12</v>
      </c>
    </row>
    <row r="3" spans="1:8" x14ac:dyDescent="0.25">
      <c r="A3" s="13" t="s">
        <v>575</v>
      </c>
      <c r="B3" s="13" t="s">
        <v>582</v>
      </c>
      <c r="C3" s="13" t="str">
        <f t="shared" ca="1" si="0"/>
        <v>Delimiter Char</v>
      </c>
      <c r="D3" s="13" t="str">
        <f t="shared" si="1"/>
        <v>Formats for Equals and ToString</v>
      </c>
      <c r="E3" s="13" t="str">
        <f t="shared" si="2"/>
        <v>$A$4:$A$9</v>
      </c>
      <c r="F3" s="12">
        <f t="shared" ca="1" si="3"/>
        <v>6</v>
      </c>
      <c r="G3" s="12">
        <f t="shared" ca="1" si="4"/>
        <v>1</v>
      </c>
      <c r="H3" s="12">
        <f t="shared" ca="1" si="5"/>
        <v>6</v>
      </c>
    </row>
    <row r="4" spans="1:8" x14ac:dyDescent="0.25">
      <c r="A4" s="13" t="s">
        <v>576</v>
      </c>
      <c r="B4" s="13" t="s">
        <v>583</v>
      </c>
      <c r="C4" s="34" t="str">
        <f t="shared" ca="1" si="0"/>
        <v>Object Property</v>
      </c>
      <c r="D4" s="13" t="str">
        <f t="shared" si="1"/>
        <v>Formats for Equals and ToString</v>
      </c>
      <c r="E4" s="13" t="str">
        <f t="shared" si="2"/>
        <v>$A$3:$D$3</v>
      </c>
      <c r="F4" s="12">
        <f t="shared" ca="1" si="3"/>
        <v>1</v>
      </c>
      <c r="G4" s="12">
        <f t="shared" ca="1" si="4"/>
        <v>4</v>
      </c>
      <c r="H4" s="12">
        <f t="shared" ca="1" si="5"/>
        <v>4</v>
      </c>
    </row>
    <row r="5" spans="1:8" x14ac:dyDescent="0.25">
      <c r="A5" s="13" t="s">
        <v>577</v>
      </c>
      <c r="B5" s="13" t="s">
        <v>584</v>
      </c>
      <c r="C5" s="13" t="str">
        <f t="shared" ca="1" si="0"/>
        <v>Delimiter Char</v>
      </c>
      <c r="D5" s="13" t="str">
        <f t="shared" si="1"/>
        <v>Formats for Equals and ToString</v>
      </c>
      <c r="E5" s="13" t="str">
        <f t="shared" si="2"/>
        <v>$A$4:$D$9</v>
      </c>
      <c r="F5" s="12">
        <f t="shared" ca="1" si="3"/>
        <v>6</v>
      </c>
      <c r="G5" s="12">
        <f t="shared" ca="1" si="4"/>
        <v>4</v>
      </c>
      <c r="H5" s="12">
        <f t="shared" ca="1" si="5"/>
        <v>24</v>
      </c>
    </row>
    <row r="6" spans="1:8" x14ac:dyDescent="0.25">
      <c r="A6" s="13" t="s">
        <v>482</v>
      </c>
      <c r="B6" s="13" t="s">
        <v>628</v>
      </c>
      <c r="C6" s="13" t="str">
        <f t="shared" ca="1" si="0"/>
        <v>{0},{1},{2},{3},{4},{5}</v>
      </c>
      <c r="D6" s="13" t="str">
        <f t="shared" si="1"/>
        <v>Formats for Equals and ToString</v>
      </c>
      <c r="E6" s="13" t="str">
        <f t="shared" si="2"/>
        <v>$K$9</v>
      </c>
      <c r="F6" s="12">
        <f t="shared" ca="1" si="3"/>
        <v>1</v>
      </c>
      <c r="G6" s="12">
        <f t="shared" ca="1" si="4"/>
        <v>1</v>
      </c>
      <c r="H6" s="12">
        <f t="shared" ca="1" si="5"/>
        <v>1</v>
      </c>
    </row>
    <row r="7" spans="1:8" x14ac:dyDescent="0.25">
      <c r="A7" s="13" t="s">
        <v>629</v>
      </c>
      <c r="B7" s="13" t="s">
        <v>686</v>
      </c>
      <c r="C7" s="13" t="str">
        <f t="shared" ca="1" si="0"/>
        <v>GUID</v>
      </c>
      <c r="D7" s="13" t="str">
        <f t="shared" si="1"/>
        <v>GUID Dictionary</v>
      </c>
      <c r="E7" s="13" t="str">
        <f t="shared" si="2"/>
        <v>$B$1:$B$11</v>
      </c>
      <c r="F7" s="12">
        <f t="shared" ca="1" si="3"/>
        <v>11</v>
      </c>
      <c r="G7" s="12">
        <f t="shared" ca="1" si="4"/>
        <v>1</v>
      </c>
      <c r="H7" s="12">
        <f t="shared" ca="1" si="5"/>
        <v>11</v>
      </c>
    </row>
    <row r="8" spans="1:8" x14ac:dyDescent="0.25">
      <c r="A8" s="13" t="s">
        <v>578</v>
      </c>
      <c r="B8" s="13" t="s">
        <v>579</v>
      </c>
      <c r="C8" s="13" t="str">
        <f t="shared" ca="1" si="0"/>
        <v>Name</v>
      </c>
      <c r="D8" s="13" t="str">
        <f t="shared" si="1"/>
        <v>AnyCSV Resource Strings</v>
      </c>
      <c r="E8" s="13" t="str">
        <f t="shared" si="2"/>
        <v>$A$1:$C$1</v>
      </c>
      <c r="F8" s="12">
        <f t="shared" ca="1" si="3"/>
        <v>1</v>
      </c>
      <c r="G8" s="12">
        <f t="shared" ca="1" si="4"/>
        <v>3</v>
      </c>
      <c r="H8" s="12">
        <f t="shared" ca="1" si="5"/>
        <v>3</v>
      </c>
    </row>
    <row r="9" spans="1:8" x14ac:dyDescent="0.25">
      <c r="A9" s="15" t="s">
        <v>580</v>
      </c>
      <c r="B9" s="15" t="s">
        <v>581</v>
      </c>
      <c r="C9" s="45" t="str">
        <f t="shared" ca="1" si="0"/>
        <v>DLM_DSP_CARAT</v>
      </c>
      <c r="D9" s="15" t="str">
        <f t="shared" si="1"/>
        <v>AnyCSV Resource Strings</v>
      </c>
      <c r="E9" s="15" t="str">
        <f t="shared" si="2"/>
        <v>$A$2:$C$16</v>
      </c>
      <c r="F9" s="14">
        <f t="shared" ca="1" si="3"/>
        <v>15</v>
      </c>
      <c r="G9" s="14">
        <f t="shared" ca="1" si="4"/>
        <v>3</v>
      </c>
      <c r="H9" s="14">
        <f t="shared" ca="1" si="5"/>
        <v>45</v>
      </c>
    </row>
    <row r="10" spans="1:8" x14ac:dyDescent="0.25">
      <c r="A10" s="13" t="s">
        <v>158</v>
      </c>
      <c r="B10" s="13" t="s">
        <v>159</v>
      </c>
      <c r="C10" s="13">
        <f t="shared" ca="1" si="0"/>
        <v>42526.847777777781</v>
      </c>
      <c r="D10" s="13" t="str">
        <f t="shared" si="1"/>
        <v>Inventory_WizardWrx_DLLServices</v>
      </c>
      <c r="E10" s="13" t="str">
        <f t="shared" si="2"/>
        <v>$D$2</v>
      </c>
      <c r="F10" s="12">
        <f t="shared" ca="1" si="3"/>
        <v>1</v>
      </c>
      <c r="G10" s="12">
        <f t="shared" ca="1" si="4"/>
        <v>1</v>
      </c>
      <c r="H10" s="12">
        <f t="shared" ca="1" si="5"/>
        <v>1</v>
      </c>
    </row>
    <row r="11" spans="1:8" x14ac:dyDescent="0.25">
      <c r="A11" s="13" t="s">
        <v>489</v>
      </c>
      <c r="B11" s="13" t="s">
        <v>490</v>
      </c>
      <c r="C11" s="13" t="str">
        <f t="shared" ca="1" si="0"/>
        <v>In Progress</v>
      </c>
      <c r="D11" s="13" t="str">
        <f t="shared" si="1"/>
        <v>Check List</v>
      </c>
      <c r="E11" s="13" t="str">
        <f t="shared" si="2"/>
        <v>$A$2:$A$4</v>
      </c>
      <c r="F11" s="12">
        <f t="shared" ca="1" si="3"/>
        <v>3</v>
      </c>
      <c r="G11" s="12">
        <f t="shared" ca="1" si="4"/>
        <v>1</v>
      </c>
      <c r="H11" s="12">
        <f t="shared" ca="1" si="5"/>
        <v>3</v>
      </c>
    </row>
    <row r="12" spans="1:8" x14ac:dyDescent="0.25">
      <c r="A12" s="13" t="s">
        <v>160</v>
      </c>
      <c r="B12" s="13" t="s">
        <v>161</v>
      </c>
      <c r="C12" s="13" t="str">
        <f t="shared" ca="1" si="0"/>
        <v>C:\Users\DAVE\Documents\Visual Studio 2013\Projects\WizardWrx_Libs\AnyCSV\NOTES\</v>
      </c>
      <c r="D12" s="13" t="str">
        <f t="shared" si="1"/>
        <v>Check List</v>
      </c>
      <c r="E12" s="13" t="str">
        <f t="shared" si="2"/>
        <v>$E$3</v>
      </c>
      <c r="F12" s="12">
        <f t="shared" ca="1" si="3"/>
        <v>1</v>
      </c>
      <c r="G12" s="12">
        <f t="shared" ca="1" si="4"/>
        <v>1</v>
      </c>
      <c r="H12" s="12">
        <f t="shared" ca="1" si="5"/>
        <v>1</v>
      </c>
    </row>
    <row r="13" spans="1:8" x14ac:dyDescent="0.25">
      <c r="A13" s="13" t="s">
        <v>162</v>
      </c>
      <c r="B13" s="13" t="s">
        <v>161</v>
      </c>
      <c r="C13" s="13" t="str">
        <f t="shared" ca="1" si="0"/>
        <v>C:\Users\DAVE\Documents\Visual Studio 2013\Projects\WizardWrx_Libs\AnyCSV\NOTES\</v>
      </c>
      <c r="D13" s="13" t="str">
        <f t="shared" si="1"/>
        <v>Check List</v>
      </c>
      <c r="E13" s="13" t="str">
        <f t="shared" si="2"/>
        <v>$E$3</v>
      </c>
      <c r="F13" s="12">
        <f t="shared" ca="1" si="3"/>
        <v>1</v>
      </c>
      <c r="G13" s="12">
        <f t="shared" ca="1" si="4"/>
        <v>1</v>
      </c>
      <c r="H13" s="12">
        <f t="shared" ca="1" si="5"/>
        <v>1</v>
      </c>
    </row>
    <row r="14" spans="1:8" x14ac:dyDescent="0.25">
      <c r="A14" s="13" t="s">
        <v>461</v>
      </c>
      <c r="B14" s="13" t="s">
        <v>585</v>
      </c>
      <c r="C14" s="13" t="str">
        <f t="shared" ca="1" si="0"/>
        <v>Delimiter         = {0}{6}Guard Character   = {1}{6}Trim White Space  = {2}{6}Guard Disposition = {3}{6}Lock State        = {4}{6}Lock Method       = {5}{6}</v>
      </c>
      <c r="D14" s="13" t="str">
        <f t="shared" si="1"/>
        <v>Formats for Equals and ToString</v>
      </c>
      <c r="E14" s="13" t="str">
        <f t="shared" si="2"/>
        <v>$I$9</v>
      </c>
      <c r="F14" s="12">
        <f t="shared" ca="1" si="3"/>
        <v>1</v>
      </c>
      <c r="G14" s="12">
        <f t="shared" ca="1" si="4"/>
        <v>1</v>
      </c>
      <c r="H14" s="12">
        <f t="shared" ca="1" si="5"/>
        <v>1</v>
      </c>
    </row>
    <row r="15" spans="1:8" x14ac:dyDescent="0.25">
      <c r="A15" s="13" t="s">
        <v>687</v>
      </c>
      <c r="B15" s="13" t="s">
        <v>688</v>
      </c>
      <c r="C15" s="13">
        <f t="shared" ca="1" si="0"/>
        <v>0</v>
      </c>
      <c r="D15" s="13" t="str">
        <f t="shared" si="1"/>
        <v>Variant Subtype Constants</v>
      </c>
      <c r="E15" s="13" t="str">
        <f t="shared" si="2"/>
        <v>$B$2:$F$24</v>
      </c>
      <c r="F15" s="12">
        <f t="shared" ca="1" si="3"/>
        <v>23</v>
      </c>
      <c r="G15" s="12">
        <f t="shared" ca="1" si="4"/>
        <v>5</v>
      </c>
      <c r="H15" s="12">
        <f t="shared" ca="1" si="5"/>
        <v>115</v>
      </c>
    </row>
    <row r="16" spans="1:8" x14ac:dyDescent="0.25">
      <c r="A16" s="15" t="s">
        <v>689</v>
      </c>
      <c r="B16" s="15" t="s">
        <v>690</v>
      </c>
      <c r="C16" s="15" t="str">
        <f t="shared" ca="1" si="0"/>
        <v>Value</v>
      </c>
      <c r="D16" s="15" t="str">
        <f t="shared" si="1"/>
        <v>Variant Subtype Constants</v>
      </c>
      <c r="E16" s="15" t="str">
        <f t="shared" si="2"/>
        <v>$B$1:$F$1</v>
      </c>
      <c r="F16" s="14">
        <f t="shared" ca="1" si="3"/>
        <v>1</v>
      </c>
      <c r="G16" s="14">
        <f t="shared" ca="1" si="4"/>
        <v>5</v>
      </c>
      <c r="H16" s="14">
        <f t="shared" ca="1" si="5"/>
        <v>5</v>
      </c>
    </row>
    <row r="17" spans="1:8" x14ac:dyDescent="0.25">
      <c r="A17" s="13" t="s">
        <v>691</v>
      </c>
      <c r="B17" s="13" t="s">
        <v>692</v>
      </c>
      <c r="C17" s="13" t="str">
        <f t="shared" ca="1" si="0"/>
        <v>0x0000</v>
      </c>
      <c r="D17" s="13" t="str">
        <f t="shared" si="1"/>
        <v>Variant Subtype Constants</v>
      </c>
      <c r="E17" s="13" t="str">
        <f t="shared" si="2"/>
        <v>$C$2:$F$24</v>
      </c>
      <c r="F17" s="12">
        <f t="shared" ca="1" si="3"/>
        <v>23</v>
      </c>
      <c r="G17" s="12">
        <f t="shared" ca="1" si="4"/>
        <v>4</v>
      </c>
      <c r="H17" s="12">
        <f t="shared" ca="1" si="5"/>
        <v>92</v>
      </c>
    </row>
    <row r="18" spans="1:8" x14ac:dyDescent="0.25">
      <c r="A18" s="13" t="s">
        <v>693</v>
      </c>
      <c r="B18" s="13" t="s">
        <v>694</v>
      </c>
      <c r="C18" s="13" t="str">
        <f t="shared" ca="1" si="0"/>
        <v>Hex</v>
      </c>
      <c r="D18" s="13" t="str">
        <f t="shared" si="1"/>
        <v>Variant Subtype Constants</v>
      </c>
      <c r="E18" s="13" t="str">
        <f t="shared" si="2"/>
        <v>$C$1:$F$1</v>
      </c>
      <c r="F18" s="12">
        <f t="shared" ca="1" si="3"/>
        <v>1</v>
      </c>
      <c r="G18" s="12">
        <f t="shared" ca="1" si="4"/>
        <v>4</v>
      </c>
      <c r="H18" s="12">
        <f t="shared" ca="1" si="5"/>
        <v>4</v>
      </c>
    </row>
    <row r="19" spans="1:8" x14ac:dyDescent="0.25">
      <c r="A19" s="13" t="s">
        <v>695</v>
      </c>
      <c r="B19" s="13" t="s">
        <v>696</v>
      </c>
      <c r="C19" s="13" t="str">
        <f t="shared" ca="1" si="0"/>
        <v>vbEmpty</v>
      </c>
      <c r="D19" s="13" t="str">
        <f t="shared" si="1"/>
        <v>Variant Subtype Constants</v>
      </c>
      <c r="E19" s="13" t="str">
        <f t="shared" si="2"/>
        <v>$A$2:$E$24</v>
      </c>
      <c r="F19" s="12">
        <f t="shared" ca="1" si="3"/>
        <v>23</v>
      </c>
      <c r="G19" s="12">
        <f t="shared" ca="1" si="4"/>
        <v>5</v>
      </c>
      <c r="H19" s="12">
        <f t="shared" ca="1" si="5"/>
        <v>115</v>
      </c>
    </row>
    <row r="20" spans="1:8" x14ac:dyDescent="0.25">
      <c r="A20" s="13" t="s">
        <v>697</v>
      </c>
      <c r="B20" s="13" t="s">
        <v>698</v>
      </c>
      <c r="C20" s="13" t="str">
        <f t="shared" ca="1" si="0"/>
        <v>Symbolic Constant</v>
      </c>
      <c r="D20" s="13" t="str">
        <f t="shared" si="1"/>
        <v>Variant Subtype Constants</v>
      </c>
      <c r="E20" s="13" t="str">
        <f t="shared" si="2"/>
        <v>$A$1:$E$1</v>
      </c>
      <c r="F20" s="12">
        <f t="shared" ca="1" si="3"/>
        <v>1</v>
      </c>
      <c r="G20" s="12">
        <f t="shared" ca="1" si="4"/>
        <v>5</v>
      </c>
      <c r="H20" s="12">
        <f t="shared" ca="1" si="5"/>
        <v>5</v>
      </c>
    </row>
    <row r="21" spans="1:8" x14ac:dyDescent="0.25">
      <c r="A21" s="13"/>
      <c r="B21" s="13"/>
      <c r="C21" s="13" t="str">
        <f t="shared" ca="1" si="0"/>
        <v/>
      </c>
      <c r="D21" s="13" t="str">
        <f t="shared" si="1"/>
        <v/>
      </c>
      <c r="E21" s="13" t="str">
        <f t="shared" si="2"/>
        <v/>
      </c>
      <c r="F21" s="12" t="str">
        <f t="shared" ca="1" si="3"/>
        <v/>
      </c>
      <c r="G21" s="12" t="str">
        <f t="shared" ca="1" si="4"/>
        <v/>
      </c>
      <c r="H21" s="12" t="str">
        <f t="shared" si="5"/>
        <v/>
      </c>
    </row>
    <row r="22" spans="1:8" x14ac:dyDescent="0.25">
      <c r="A22" s="13"/>
      <c r="B22" s="13"/>
      <c r="C22" s="13" t="str">
        <f t="shared" ca="1" si="0"/>
        <v/>
      </c>
      <c r="D22" s="13" t="str">
        <f t="shared" si="1"/>
        <v/>
      </c>
      <c r="E22" s="13" t="str">
        <f t="shared" si="2"/>
        <v/>
      </c>
      <c r="F22" s="12" t="str">
        <f t="shared" ca="1" si="3"/>
        <v/>
      </c>
      <c r="G22" s="12" t="str">
        <f t="shared" ca="1" si="4"/>
        <v/>
      </c>
      <c r="H22" s="12" t="str">
        <f t="shared" si="5"/>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tint="-0.249977111117893"/>
  </sheetPr>
  <dimension ref="A1:O12"/>
  <sheetViews>
    <sheetView workbookViewId="0">
      <selection activeCell="A11" sqref="A11"/>
    </sheetView>
  </sheetViews>
  <sheetFormatPr defaultRowHeight="15" x14ac:dyDescent="0.25"/>
  <cols>
    <col min="1" max="1" width="6.5" customWidth="1"/>
    <col min="2" max="2" width="98.75" bestFit="1" customWidth="1"/>
    <col min="3" max="3" width="39.75" bestFit="1" customWidth="1"/>
    <col min="4" max="4" width="28.125" bestFit="1" customWidth="1"/>
    <col min="5" max="5" width="8.75" customWidth="1"/>
    <col min="6" max="6" width="13" bestFit="1" customWidth="1"/>
    <col min="7" max="7" width="12.625" bestFit="1" customWidth="1"/>
    <col min="8" max="8" width="8.75" customWidth="1"/>
  </cols>
  <sheetData>
    <row r="1" spans="1:15" ht="18" x14ac:dyDescent="0.25">
      <c r="A1" s="79" t="s">
        <v>0</v>
      </c>
      <c r="B1" s="80"/>
      <c r="C1" s="1"/>
      <c r="D1" s="1"/>
    </row>
    <row r="2" spans="1:15" ht="18" x14ac:dyDescent="0.25">
      <c r="A2" s="81" t="s">
        <v>1</v>
      </c>
      <c r="B2" s="82"/>
      <c r="D2" s="2" t="s">
        <v>12</v>
      </c>
      <c r="E2" s="75" t="s">
        <v>10</v>
      </c>
      <c r="F2" s="75"/>
      <c r="G2" s="75"/>
      <c r="H2" s="75"/>
      <c r="I2" s="75"/>
      <c r="J2" s="75"/>
      <c r="K2" s="75"/>
      <c r="L2" s="75"/>
      <c r="M2" s="75"/>
      <c r="N2" s="75"/>
      <c r="O2" s="75"/>
    </row>
    <row r="3" spans="1:15" ht="18" x14ac:dyDescent="0.25">
      <c r="A3" s="83" t="s">
        <v>2</v>
      </c>
      <c r="B3" s="84"/>
      <c r="D3" s="2" t="s">
        <v>11</v>
      </c>
      <c r="E3" s="75" t="s">
        <v>13</v>
      </c>
      <c r="F3" s="75"/>
      <c r="G3" s="75"/>
      <c r="H3" s="75"/>
      <c r="I3" s="75"/>
      <c r="J3" s="75"/>
      <c r="K3" s="75"/>
      <c r="L3" s="75"/>
      <c r="M3" s="75"/>
      <c r="N3" s="75"/>
      <c r="O3" s="75"/>
    </row>
    <row r="4" spans="1:15" x14ac:dyDescent="0.25">
      <c r="A4" s="85" t="s">
        <v>3</v>
      </c>
      <c r="B4" s="86"/>
    </row>
    <row r="6" spans="1:15" ht="18" x14ac:dyDescent="0.25">
      <c r="A6" s="2" t="s">
        <v>4</v>
      </c>
      <c r="B6" s="2" t="s">
        <v>6</v>
      </c>
      <c r="C6" s="2" t="s">
        <v>7</v>
      </c>
      <c r="D6" s="2" t="s">
        <v>8</v>
      </c>
      <c r="E6" s="2" t="s">
        <v>9</v>
      </c>
    </row>
    <row r="7" spans="1:15" ht="85.5" x14ac:dyDescent="0.25">
      <c r="A7" s="3">
        <f>IF(ISNUMBER(A6),A6+1,1)</f>
        <v>1</v>
      </c>
      <c r="B7" s="3" t="s">
        <v>14</v>
      </c>
      <c r="C7" s="76" t="s">
        <v>15</v>
      </c>
      <c r="D7" s="4" t="s">
        <v>166</v>
      </c>
      <c r="E7" s="3" t="s">
        <v>3</v>
      </c>
    </row>
    <row r="8" spans="1:15" ht="28.5" x14ac:dyDescent="0.25">
      <c r="A8" s="3">
        <f t="shared" ref="A8:A12" si="0">IF(ISNUMBER(A7),A7+1,1)</f>
        <v>2</v>
      </c>
      <c r="B8" s="3" t="s">
        <v>16</v>
      </c>
      <c r="C8" s="77"/>
      <c r="D8" s="4" t="s">
        <v>167</v>
      </c>
      <c r="E8" s="3" t="s">
        <v>3</v>
      </c>
    </row>
    <row r="9" spans="1:15" ht="28.5" x14ac:dyDescent="0.25">
      <c r="A9" s="3">
        <f t="shared" si="0"/>
        <v>3</v>
      </c>
      <c r="B9" s="3" t="s">
        <v>17</v>
      </c>
      <c r="C9" s="77"/>
      <c r="D9" s="4" t="s">
        <v>165</v>
      </c>
      <c r="E9" s="3" t="s">
        <v>3</v>
      </c>
    </row>
    <row r="10" spans="1:15" ht="28.5" x14ac:dyDescent="0.25">
      <c r="A10" s="3">
        <f t="shared" si="0"/>
        <v>4</v>
      </c>
      <c r="B10" s="3" t="s">
        <v>163</v>
      </c>
      <c r="C10" s="77"/>
      <c r="D10" s="4" t="s">
        <v>168</v>
      </c>
      <c r="E10" s="3" t="s">
        <v>3</v>
      </c>
    </row>
    <row r="11" spans="1:15" x14ac:dyDescent="0.25">
      <c r="A11" s="3">
        <f t="shared" si="0"/>
        <v>5</v>
      </c>
      <c r="B11" s="3" t="s">
        <v>164</v>
      </c>
      <c r="C11" s="78"/>
      <c r="D11" s="4"/>
      <c r="E11" s="3"/>
    </row>
    <row r="12" spans="1:15" x14ac:dyDescent="0.25">
      <c r="A12" s="3">
        <f t="shared" si="0"/>
        <v>6</v>
      </c>
      <c r="B12" s="3"/>
      <c r="C12" s="5"/>
      <c r="D12" s="4"/>
      <c r="E12" s="3"/>
    </row>
  </sheetData>
  <mergeCells count="7">
    <mergeCell ref="E2:O2"/>
    <mergeCell ref="E3:O3"/>
    <mergeCell ref="C7:C11"/>
    <mergeCell ref="A1:B1"/>
    <mergeCell ref="A2:B2"/>
    <mergeCell ref="A3:B3"/>
    <mergeCell ref="A4:B4"/>
  </mergeCells>
  <conditionalFormatting sqref="A7:B7 B8 D7:E8">
    <cfRule type="expression" dxfId="34" priority="22">
      <formula>$E7="Done"</formula>
    </cfRule>
    <cfRule type="expression" dxfId="33" priority="23">
      <formula>$E7="Ready to Test"</formula>
    </cfRule>
    <cfRule type="expression" dxfId="32" priority="24">
      <formula>$E7="In Progress"</formula>
    </cfRule>
  </conditionalFormatting>
  <conditionalFormatting sqref="B9 D9:E9">
    <cfRule type="expression" dxfId="31" priority="13">
      <formula>$E9="Done"</formula>
    </cfRule>
    <cfRule type="expression" dxfId="30" priority="14">
      <formula>$E9="Ready to Test"</formula>
    </cfRule>
    <cfRule type="expression" dxfId="29" priority="15">
      <formula>$E9="In Progress"</formula>
    </cfRule>
  </conditionalFormatting>
  <conditionalFormatting sqref="B10 D10:E10">
    <cfRule type="expression" dxfId="28" priority="10">
      <formula>$E10="Done"</formula>
    </cfRule>
    <cfRule type="expression" dxfId="27" priority="11">
      <formula>$E10="Ready to Test"</formula>
    </cfRule>
    <cfRule type="expression" dxfId="26" priority="12">
      <formula>$E10="In Progress"</formula>
    </cfRule>
  </conditionalFormatting>
  <conditionalFormatting sqref="B11 D11:E11">
    <cfRule type="expression" dxfId="25" priority="7">
      <formula>$E11="Done"</formula>
    </cfRule>
    <cfRule type="expression" dxfId="24" priority="8">
      <formula>$E11="Ready to Test"</formula>
    </cfRule>
    <cfRule type="expression" dxfId="23" priority="9">
      <formula>$E11="In Progress"</formula>
    </cfRule>
  </conditionalFormatting>
  <conditionalFormatting sqref="B12:E12">
    <cfRule type="expression" dxfId="22" priority="4">
      <formula>$E12="Done"</formula>
    </cfRule>
    <cfRule type="expression" dxfId="21" priority="5">
      <formula>$E12="Ready to Test"</formula>
    </cfRule>
    <cfRule type="expression" dxfId="20" priority="6">
      <formula>$E12="In Progress"</formula>
    </cfRule>
  </conditionalFormatting>
  <conditionalFormatting sqref="A8:A12">
    <cfRule type="expression" dxfId="19" priority="1">
      <formula>$E8="Done"</formula>
    </cfRule>
    <cfRule type="expression" dxfId="18" priority="2">
      <formula>$E8="Ready to Test"</formula>
    </cfRule>
    <cfRule type="expression" dxfId="17" priority="3">
      <formula>$E8="In Progress"</formula>
    </cfRule>
  </conditionalFormatting>
  <dataValidations count="1">
    <dataValidation type="list" allowBlank="1" showInputMessage="1" showErrorMessage="1" sqref="E7:E12">
      <formula1>Status_Choices</formula1>
    </dataValidation>
  </dataValidations>
  <hyperlinks>
    <hyperlink ref="C7" r:id="rId1"/>
  </hyperlinks>
  <pageMargins left="0.7" right="0.7" top="0.75" bottom="0.75" header="0.3" footer="0.3"/>
  <pageSetup orientation="portrait" horizontalDpi="0"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499984740745262"/>
  </sheetPr>
  <dimension ref="A1:N20"/>
  <sheetViews>
    <sheetView workbookViewId="0">
      <pane xSplit="3" ySplit="2" topLeftCell="F3" activePane="bottomRight" state="frozen"/>
      <selection pane="topRight" activeCell="D1" sqref="D1"/>
      <selection pane="bottomLeft" activeCell="A3" sqref="A3"/>
      <selection pane="bottomRight" activeCell="H19" sqref="H19"/>
    </sheetView>
  </sheetViews>
  <sheetFormatPr defaultRowHeight="15" x14ac:dyDescent="0.25"/>
  <cols>
    <col min="1" max="1" width="20.125" bestFit="1" customWidth="1"/>
    <col min="2" max="2" width="16" bestFit="1" customWidth="1"/>
    <col min="4" max="4" width="43.875" bestFit="1" customWidth="1"/>
    <col min="5" max="5" width="104.875" bestFit="1" customWidth="1"/>
    <col min="6" max="6" width="6.25" bestFit="1" customWidth="1"/>
    <col min="7" max="7" width="5.75" bestFit="1" customWidth="1"/>
    <col min="8" max="8" width="17.125" bestFit="1" customWidth="1"/>
    <col min="9" max="9" width="18.625" bestFit="1" customWidth="1"/>
    <col min="10" max="10" width="6.25" bestFit="1" customWidth="1"/>
    <col min="11" max="11" width="5.75" bestFit="1" customWidth="1"/>
    <col min="12" max="12" width="25.375" bestFit="1" customWidth="1"/>
    <col min="13" max="13" width="51.125" bestFit="1" customWidth="1"/>
    <col min="14" max="14" width="54.375" bestFit="1" customWidth="1"/>
  </cols>
  <sheetData>
    <row r="1" spans="1:14" ht="18" x14ac:dyDescent="0.25">
      <c r="A1" s="90" t="s">
        <v>509</v>
      </c>
      <c r="B1" s="87" t="s">
        <v>531</v>
      </c>
      <c r="C1" s="88"/>
      <c r="D1" s="88"/>
      <c r="E1" s="88"/>
      <c r="F1" s="88" t="s">
        <v>530</v>
      </c>
      <c r="G1" s="89"/>
      <c r="H1" s="87" t="s">
        <v>528</v>
      </c>
      <c r="I1" s="88"/>
      <c r="J1" s="88"/>
      <c r="K1" s="89"/>
      <c r="L1" s="87" t="s">
        <v>485</v>
      </c>
      <c r="M1" s="88"/>
      <c r="N1" s="89"/>
    </row>
    <row r="2" spans="1:14" ht="18" x14ac:dyDescent="0.25">
      <c r="A2" s="91"/>
      <c r="B2" s="41" t="s">
        <v>5</v>
      </c>
      <c r="C2" s="41" t="s">
        <v>462</v>
      </c>
      <c r="D2" s="41" t="s">
        <v>560</v>
      </c>
      <c r="E2" s="41" t="s">
        <v>561</v>
      </c>
      <c r="F2" s="42" t="s">
        <v>532</v>
      </c>
      <c r="G2" s="41" t="s">
        <v>533</v>
      </c>
      <c r="H2" s="41" t="s">
        <v>440</v>
      </c>
      <c r="I2" s="41" t="s">
        <v>529</v>
      </c>
      <c r="J2" s="41" t="s">
        <v>532</v>
      </c>
      <c r="K2" s="41" t="s">
        <v>533</v>
      </c>
      <c r="L2" s="41" t="s">
        <v>5</v>
      </c>
      <c r="M2" s="41" t="s">
        <v>462</v>
      </c>
      <c r="N2" s="41" t="s">
        <v>8</v>
      </c>
    </row>
    <row r="3" spans="1:14" x14ac:dyDescent="0.25">
      <c r="A3" s="43" t="s">
        <v>568</v>
      </c>
      <c r="B3" s="43" t="s">
        <v>562</v>
      </c>
      <c r="C3" s="43"/>
      <c r="D3" s="43"/>
      <c r="E3" s="44"/>
      <c r="F3" s="43"/>
      <c r="G3" s="43"/>
      <c r="H3" s="43" t="str">
        <f t="shared" ref="H3:H20" si="0">VLOOKUP($A3,Character_Type_Prefix_Values,MATCH(H$2,Character_Type_Prefix_Labels,0),FALSE)</f>
        <v>DelimiterChar</v>
      </c>
      <c r="I3" s="43" t="str">
        <f>PROPER(B3)</f>
        <v>None</v>
      </c>
      <c r="J3" s="43">
        <f>IF(ISBLANK(B3),"",IF(ISNUMBER(J2),IF(A2=A3,J2+1,0),0))</f>
        <v>0</v>
      </c>
      <c r="K3" s="43" t="str">
        <f>CONCATENATE("0X",DEC2HEX(J3,2))</f>
        <v>0X00</v>
      </c>
      <c r="L3" s="43"/>
      <c r="M3" s="43"/>
      <c r="N3" s="44"/>
    </row>
    <row r="4" spans="1:14" x14ac:dyDescent="0.25">
      <c r="A4" s="43" t="s">
        <v>568</v>
      </c>
      <c r="B4" s="43" t="s">
        <v>506</v>
      </c>
      <c r="C4" s="43" t="s">
        <v>507</v>
      </c>
      <c r="D4" s="43" t="s">
        <v>534</v>
      </c>
      <c r="E4" s="44" t="s">
        <v>535</v>
      </c>
      <c r="F4" s="43">
        <v>92</v>
      </c>
      <c r="G4" s="43" t="str">
        <f t="shared" ref="G4:G11" si="1">CONCATENATE("0x",DEC2HEX(F4,2))</f>
        <v>0x5C</v>
      </c>
      <c r="H4" s="43" t="str">
        <f t="shared" si="0"/>
        <v>DelimiterChar</v>
      </c>
      <c r="I4" s="43" t="str">
        <f>PROPER(B4)</f>
        <v>Carat</v>
      </c>
      <c r="J4" s="43">
        <f t="shared" ref="J4:J20" si="2">IF(ISBLANK(B4),"",IF(ISNUMBER(J3),IF(A3=A4,J3+1,0),0))</f>
        <v>1</v>
      </c>
      <c r="K4" s="43" t="str">
        <f t="shared" ref="K4:K18" si="3">CONCATENATE("0X",DEC2HEX(J4,2))</f>
        <v>0X01</v>
      </c>
      <c r="L4" s="43" t="str">
        <f t="shared" ref="L4:L11" si="4">UPPER(CONCATENATE(VLOOKUP($A4,Character_Type_Prefix_Values,MATCH("Prefix",Character_Type_Prefix_Labels,0),FALSE),B4))</f>
        <v>DLM_DSP_CARAT</v>
      </c>
      <c r="M4" s="43" t="str">
        <f t="shared" ref="M4:N11" si="5">VLOOKUP($L4,Managed_Resource_String_Property_Values,MATCH(M$2,Managed_Resource_String_Property_Labels,0),FALSE)</f>
        <v>Carat (^, ASCII code 0x5E)</v>
      </c>
      <c r="N4" s="44" t="str">
        <f t="shared" si="5"/>
        <v>Display value for carat character as delimiter character</v>
      </c>
    </row>
    <row r="5" spans="1:14" x14ac:dyDescent="0.25">
      <c r="A5" s="43" t="s">
        <v>568</v>
      </c>
      <c r="B5" s="43" t="s">
        <v>512</v>
      </c>
      <c r="C5" s="43" t="s">
        <v>521</v>
      </c>
      <c r="D5" s="43" t="s">
        <v>548</v>
      </c>
      <c r="E5" s="44" t="s">
        <v>549</v>
      </c>
      <c r="F5" s="43">
        <v>13</v>
      </c>
      <c r="G5" s="43" t="str">
        <f t="shared" si="1"/>
        <v>0x0D</v>
      </c>
      <c r="H5" s="43" t="str">
        <f t="shared" si="0"/>
        <v>DelimiterChar</v>
      </c>
      <c r="I5" s="43" t="str">
        <f t="shared" ref="I5:I20" si="6">SUBSTITUTE(PROPER(B5),"_","")</f>
        <v>CarriageReturn</v>
      </c>
      <c r="J5" s="43">
        <f t="shared" si="2"/>
        <v>2</v>
      </c>
      <c r="K5" s="43" t="str">
        <f t="shared" si="3"/>
        <v>0X02</v>
      </c>
      <c r="L5" s="43" t="str">
        <f t="shared" si="4"/>
        <v>DLM_DSP_CARRIAGE_RETURN</v>
      </c>
      <c r="M5" s="43" t="str">
        <f t="shared" si="5"/>
        <v>Carriage return (CR, ASCII code 0x0D)</v>
      </c>
      <c r="N5" s="44" t="str">
        <f t="shared" si="5"/>
        <v>Display value for carriage return character as delimiter character</v>
      </c>
    </row>
    <row r="6" spans="1:14" x14ac:dyDescent="0.25">
      <c r="A6" s="43" t="s">
        <v>568</v>
      </c>
      <c r="B6" s="43" t="s">
        <v>500</v>
      </c>
      <c r="C6" s="43" t="s">
        <v>501</v>
      </c>
      <c r="D6" s="43" t="s">
        <v>534</v>
      </c>
      <c r="E6" s="44" t="s">
        <v>535</v>
      </c>
      <c r="F6" s="43">
        <v>44</v>
      </c>
      <c r="G6" s="43" t="str">
        <f t="shared" si="1"/>
        <v>0x2C</v>
      </c>
      <c r="H6" s="43" t="str">
        <f t="shared" si="0"/>
        <v>DelimiterChar</v>
      </c>
      <c r="I6" s="43" t="str">
        <f t="shared" si="6"/>
        <v>Comma</v>
      </c>
      <c r="J6" s="43">
        <f t="shared" si="2"/>
        <v>3</v>
      </c>
      <c r="K6" s="43" t="str">
        <f t="shared" si="3"/>
        <v>0X03</v>
      </c>
      <c r="L6" s="43" t="str">
        <f t="shared" si="4"/>
        <v>DLM_DSP_COMMA</v>
      </c>
      <c r="M6" s="43" t="str">
        <f t="shared" si="5"/>
        <v>Comma (, ASCII code 0x2C)</v>
      </c>
      <c r="N6" s="44" t="str">
        <f t="shared" si="5"/>
        <v>Display value for commacharacter as delimiter character</v>
      </c>
    </row>
    <row r="7" spans="1:14" x14ac:dyDescent="0.25">
      <c r="A7" s="43" t="s">
        <v>568</v>
      </c>
      <c r="B7" s="43" t="s">
        <v>520</v>
      </c>
      <c r="C7" s="43" t="s">
        <v>522</v>
      </c>
      <c r="D7" s="43" t="s">
        <v>550</v>
      </c>
      <c r="E7" s="44" t="s">
        <v>551</v>
      </c>
      <c r="F7" s="43">
        <v>10</v>
      </c>
      <c r="G7" s="43" t="str">
        <f t="shared" si="1"/>
        <v>0x0A</v>
      </c>
      <c r="H7" s="43" t="str">
        <f t="shared" si="0"/>
        <v>DelimiterChar</v>
      </c>
      <c r="I7" s="43" t="str">
        <f t="shared" si="6"/>
        <v>LineFeed</v>
      </c>
      <c r="J7" s="43">
        <f t="shared" si="2"/>
        <v>4</v>
      </c>
      <c r="K7" s="43" t="str">
        <f t="shared" si="3"/>
        <v>0X04</v>
      </c>
      <c r="L7" s="43" t="str">
        <f t="shared" si="4"/>
        <v>DLM_DSP_LINE_FEED</v>
      </c>
      <c r="M7" s="43" t="str">
        <f t="shared" si="5"/>
        <v>Line feed (LF, ASCII code 0x0A)</v>
      </c>
      <c r="N7" s="44" t="str">
        <f t="shared" si="5"/>
        <v>Display value for line feed character as delimiter character</v>
      </c>
    </row>
    <row r="8" spans="1:14" x14ac:dyDescent="0.25">
      <c r="A8" s="43" t="s">
        <v>568</v>
      </c>
      <c r="B8" s="43" t="s">
        <v>508</v>
      </c>
      <c r="C8" s="43" t="str">
        <f>CHAR(32)</f>
        <v xml:space="preserve"> </v>
      </c>
      <c r="D8" s="43" t="s">
        <v>538</v>
      </c>
      <c r="E8" s="44" t="s">
        <v>539</v>
      </c>
      <c r="F8" s="43">
        <v>32</v>
      </c>
      <c r="G8" s="43" t="str">
        <f t="shared" si="1"/>
        <v>0x20</v>
      </c>
      <c r="H8" s="43" t="str">
        <f t="shared" si="0"/>
        <v>DelimiterChar</v>
      </c>
      <c r="I8" s="43" t="str">
        <f t="shared" si="6"/>
        <v>Space</v>
      </c>
      <c r="J8" s="43">
        <f t="shared" si="2"/>
        <v>5</v>
      </c>
      <c r="K8" s="43" t="str">
        <f t="shared" si="3"/>
        <v>0X05</v>
      </c>
      <c r="L8" s="43" t="str">
        <f t="shared" si="4"/>
        <v>DLM_DSP_SPACE</v>
      </c>
      <c r="M8" s="43" t="str">
        <f t="shared" si="5"/>
        <v>Space (ASCII code 0x20)</v>
      </c>
      <c r="N8" s="44" t="str">
        <f t="shared" si="5"/>
        <v>Display value for space character as delimiter character</v>
      </c>
    </row>
    <row r="9" spans="1:14" x14ac:dyDescent="0.25">
      <c r="A9" s="43" t="s">
        <v>568</v>
      </c>
      <c r="B9" s="43" t="s">
        <v>503</v>
      </c>
      <c r="C9" s="43" t="s">
        <v>502</v>
      </c>
      <c r="D9" s="43" t="s">
        <v>536</v>
      </c>
      <c r="E9" s="44" t="s">
        <v>537</v>
      </c>
      <c r="F9" s="43">
        <v>9</v>
      </c>
      <c r="G9" s="43" t="str">
        <f t="shared" si="1"/>
        <v>0x09</v>
      </c>
      <c r="H9" s="43" t="str">
        <f t="shared" si="0"/>
        <v>DelimiterChar</v>
      </c>
      <c r="I9" s="43" t="str">
        <f t="shared" si="6"/>
        <v>Tab</v>
      </c>
      <c r="J9" s="43">
        <f t="shared" si="2"/>
        <v>6</v>
      </c>
      <c r="K9" s="43" t="str">
        <f t="shared" si="3"/>
        <v>0X06</v>
      </c>
      <c r="L9" s="43" t="str">
        <f t="shared" si="4"/>
        <v>DLM_DSP_TAB</v>
      </c>
      <c r="M9" s="43" t="str">
        <f t="shared" si="5"/>
        <v>Tab (Horizontal Tab, ASCII code 0x09)</v>
      </c>
      <c r="N9" s="44" t="str">
        <f t="shared" si="5"/>
        <v>Display value for tab character as delimiter character</v>
      </c>
    </row>
    <row r="10" spans="1:14" x14ac:dyDescent="0.25">
      <c r="A10" s="43" t="s">
        <v>568</v>
      </c>
      <c r="B10" s="43" t="s">
        <v>504</v>
      </c>
      <c r="C10" s="43" t="s">
        <v>505</v>
      </c>
      <c r="D10" s="43" t="s">
        <v>558</v>
      </c>
      <c r="E10" s="44" t="s">
        <v>559</v>
      </c>
      <c r="F10" s="43">
        <v>124</v>
      </c>
      <c r="G10" s="43" t="str">
        <f t="shared" si="1"/>
        <v>0x7C</v>
      </c>
      <c r="H10" s="43" t="str">
        <f t="shared" si="0"/>
        <v>DelimiterChar</v>
      </c>
      <c r="I10" s="43" t="str">
        <f t="shared" si="6"/>
        <v>VerticalBar</v>
      </c>
      <c r="J10" s="43">
        <f t="shared" si="2"/>
        <v>7</v>
      </c>
      <c r="K10" s="43" t="str">
        <f t="shared" si="3"/>
        <v>0X07</v>
      </c>
      <c r="L10" s="43" t="str">
        <f t="shared" si="4"/>
        <v>DLM_DSP_VERTICAL_BAR</v>
      </c>
      <c r="M10" s="43" t="str">
        <f t="shared" si="5"/>
        <v>Vertical Bar (|,  a. k. a. Pipe, ASCII code 0x7C)</v>
      </c>
      <c r="N10" s="44" t="str">
        <f t="shared" si="5"/>
        <v>Display value for vertical bar character as delimiter character.</v>
      </c>
    </row>
    <row r="11" spans="1:14" x14ac:dyDescent="0.25">
      <c r="A11" s="43" t="s">
        <v>568</v>
      </c>
      <c r="B11" s="43" t="s">
        <v>519</v>
      </c>
      <c r="C11" s="43"/>
      <c r="D11" s="43"/>
      <c r="E11" s="44"/>
      <c r="F11" s="43"/>
      <c r="G11" s="43" t="str">
        <f t="shared" si="1"/>
        <v>0x00</v>
      </c>
      <c r="H11" s="43" t="str">
        <f t="shared" si="0"/>
        <v>DelimiterChar</v>
      </c>
      <c r="I11" s="43" t="str">
        <f t="shared" si="6"/>
        <v>Other</v>
      </c>
      <c r="J11" s="43">
        <f t="shared" si="2"/>
        <v>8</v>
      </c>
      <c r="K11" s="43" t="str">
        <f t="shared" si="3"/>
        <v>0X08</v>
      </c>
      <c r="L11" s="43" t="str">
        <f t="shared" si="4"/>
        <v>DLM_DSP_OTHER</v>
      </c>
      <c r="M11" s="43" t="str">
        <f t="shared" si="5"/>
        <v>Other ({0}, ASCII code {1})</v>
      </c>
      <c r="N11" s="44" t="str">
        <f t="shared" si="5"/>
        <v>Display value for other character as delimiter or guard character</v>
      </c>
    </row>
    <row r="12" spans="1:14" x14ac:dyDescent="0.25">
      <c r="A12" s="43" t="s">
        <v>569</v>
      </c>
      <c r="B12" s="43" t="s">
        <v>562</v>
      </c>
      <c r="C12" s="43"/>
      <c r="D12" s="43"/>
      <c r="E12" s="44"/>
      <c r="F12" s="43"/>
      <c r="G12" s="43"/>
      <c r="H12" s="43" t="str">
        <f t="shared" si="0"/>
        <v>GuardChar</v>
      </c>
      <c r="I12" s="43" t="str">
        <f t="shared" si="6"/>
        <v>None</v>
      </c>
      <c r="J12" s="43">
        <f t="shared" si="2"/>
        <v>0</v>
      </c>
      <c r="K12" s="43" t="str">
        <f t="shared" si="3"/>
        <v>0X00</v>
      </c>
      <c r="L12" s="43"/>
      <c r="M12" s="43"/>
      <c r="N12" s="44"/>
    </row>
    <row r="13" spans="1:14" x14ac:dyDescent="0.25">
      <c r="A13" s="43" t="s">
        <v>569</v>
      </c>
      <c r="B13" s="43" t="s">
        <v>515</v>
      </c>
      <c r="C13" s="43" t="s">
        <v>516</v>
      </c>
      <c r="D13" s="43" t="s">
        <v>554</v>
      </c>
      <c r="E13" s="44" t="s">
        <v>555</v>
      </c>
      <c r="F13" s="43">
        <v>96</v>
      </c>
      <c r="G13" s="43" t="str">
        <f t="shared" ref="G13:G18" si="7">CONCATENATE("0x",DEC2HEX(F13,2))</f>
        <v>0x60</v>
      </c>
      <c r="H13" s="43" t="str">
        <f t="shared" si="0"/>
        <v>GuardChar</v>
      </c>
      <c r="I13" s="43" t="str">
        <f t="shared" si="6"/>
        <v>BackQuote</v>
      </c>
      <c r="J13" s="43">
        <f t="shared" si="2"/>
        <v>1</v>
      </c>
      <c r="K13" s="43" t="str">
        <f t="shared" si="3"/>
        <v>0X01</v>
      </c>
      <c r="L13" s="43" t="str">
        <f t="shared" ref="L13:L18" si="8">UPPER(CONCATENATE(VLOOKUP($A13,Character_Type_Prefix_Values,MATCH("Prefix",Character_Type_Prefix_Labels,0),FALSE),B13))</f>
        <v>GRD_DSP_BACK_QUOTE</v>
      </c>
      <c r="M13" s="43" t="str">
        <f t="shared" ref="M13:N15" si="9">VLOOKUP($L13,Managed_Resource_String_Property_Values,MATCH(M$2,Managed_Resource_String_Property_Labels,0),FALSE)</f>
        <v>Back Quotation Mark (`, ASCII code 0x60)</v>
      </c>
      <c r="N13" s="44" t="str">
        <f t="shared" si="9"/>
        <v>Display value for backquote as guard character</v>
      </c>
    </row>
    <row r="14" spans="1:14" x14ac:dyDescent="0.25">
      <c r="A14" s="43" t="s">
        <v>569</v>
      </c>
      <c r="B14" s="43" t="s">
        <v>513</v>
      </c>
      <c r="C14" s="43" t="s">
        <v>518</v>
      </c>
      <c r="D14" s="43" t="s">
        <v>556</v>
      </c>
      <c r="E14" s="44" t="s">
        <v>557</v>
      </c>
      <c r="F14" s="43">
        <v>34</v>
      </c>
      <c r="G14" s="43" t="str">
        <f t="shared" si="7"/>
        <v>0x22</v>
      </c>
      <c r="H14" s="43" t="str">
        <f t="shared" si="0"/>
        <v>GuardChar</v>
      </c>
      <c r="I14" s="43" t="str">
        <f t="shared" si="6"/>
        <v>DoubleQuote</v>
      </c>
      <c r="J14" s="43">
        <f t="shared" si="2"/>
        <v>2</v>
      </c>
      <c r="K14" s="43" t="str">
        <f t="shared" si="3"/>
        <v>0X02</v>
      </c>
      <c r="L14" s="43" t="str">
        <f t="shared" si="8"/>
        <v>GRD_DSP_DOUBLE_QUOTE</v>
      </c>
      <c r="M14" s="43" t="str">
        <f t="shared" si="9"/>
        <v>Double Quotation Mark (", ASCII code 0x22)</v>
      </c>
      <c r="N14" s="44" t="str">
        <f t="shared" si="9"/>
        <v>Display value for double quatation mark as guard character</v>
      </c>
    </row>
    <row r="15" spans="1:14" x14ac:dyDescent="0.25">
      <c r="A15" s="43" t="s">
        <v>569</v>
      </c>
      <c r="B15" s="43" t="s">
        <v>514</v>
      </c>
      <c r="C15" s="43" t="s">
        <v>517</v>
      </c>
      <c r="D15" s="43" t="s">
        <v>552</v>
      </c>
      <c r="E15" s="44" t="s">
        <v>553</v>
      </c>
      <c r="F15" s="43">
        <v>39</v>
      </c>
      <c r="G15" s="43" t="str">
        <f t="shared" si="7"/>
        <v>0x27</v>
      </c>
      <c r="H15" s="43" t="str">
        <f t="shared" si="0"/>
        <v>GuardChar</v>
      </c>
      <c r="I15" s="43" t="str">
        <f t="shared" si="6"/>
        <v>SingleQuote</v>
      </c>
      <c r="J15" s="43">
        <f t="shared" si="2"/>
        <v>3</v>
      </c>
      <c r="K15" s="43" t="str">
        <f t="shared" si="3"/>
        <v>0X03</v>
      </c>
      <c r="L15" s="43" t="str">
        <f t="shared" si="8"/>
        <v>GRD_DSP_SINGLE_QUOTE</v>
      </c>
      <c r="M15" s="43" t="str">
        <f t="shared" si="9"/>
        <v>Single Quotation Mark (', ASCII code 0x27)</v>
      </c>
      <c r="N15" s="44" t="str">
        <f t="shared" si="9"/>
        <v>Display value for single quotation mark as guard character</v>
      </c>
    </row>
    <row r="16" spans="1:14" x14ac:dyDescent="0.25">
      <c r="A16" s="43" t="s">
        <v>569</v>
      </c>
      <c r="B16" s="43" t="s">
        <v>519</v>
      </c>
      <c r="C16" s="43"/>
      <c r="D16" s="43"/>
      <c r="E16" s="44"/>
      <c r="F16" s="43"/>
      <c r="G16" s="43" t="str">
        <f t="shared" si="7"/>
        <v>0x00</v>
      </c>
      <c r="H16" s="43" t="str">
        <f t="shared" si="0"/>
        <v>GuardChar</v>
      </c>
      <c r="I16" s="43" t="str">
        <f t="shared" si="6"/>
        <v>Other</v>
      </c>
      <c r="J16" s="43">
        <f t="shared" si="2"/>
        <v>4</v>
      </c>
      <c r="K16" s="43" t="str">
        <f t="shared" si="3"/>
        <v>0X04</v>
      </c>
      <c r="L16" s="43" t="str">
        <f t="shared" si="8"/>
        <v>GRD_DSP_OTHER</v>
      </c>
      <c r="M16" s="43"/>
      <c r="N16" s="44"/>
    </row>
    <row r="17" spans="1:14" x14ac:dyDescent="0.25">
      <c r="A17" s="43" t="s">
        <v>563</v>
      </c>
      <c r="B17" s="43" t="s">
        <v>565</v>
      </c>
      <c r="C17" s="43"/>
      <c r="D17" s="43"/>
      <c r="E17" s="44"/>
      <c r="F17" s="43"/>
      <c r="G17" s="43" t="str">
        <f t="shared" si="7"/>
        <v>0x00</v>
      </c>
      <c r="H17" s="43" t="str">
        <f t="shared" si="0"/>
        <v>GuardDisposition</v>
      </c>
      <c r="I17" s="43" t="str">
        <f t="shared" si="6"/>
        <v>Keep</v>
      </c>
      <c r="J17" s="43">
        <f t="shared" si="2"/>
        <v>0</v>
      </c>
      <c r="K17" s="43" t="str">
        <f t="shared" si="3"/>
        <v>0X00</v>
      </c>
      <c r="L17" s="43" t="str">
        <f t="shared" si="8"/>
        <v>GCD_DSP_KEEP</v>
      </c>
      <c r="M17" s="43"/>
      <c r="N17" s="44"/>
    </row>
    <row r="18" spans="1:14" x14ac:dyDescent="0.25">
      <c r="A18" s="43" t="s">
        <v>563</v>
      </c>
      <c r="B18" s="43" t="s">
        <v>566</v>
      </c>
      <c r="C18" s="43"/>
      <c r="D18" s="43"/>
      <c r="E18" s="44"/>
      <c r="F18" s="43"/>
      <c r="G18" s="43" t="str">
        <f t="shared" si="7"/>
        <v>0x00</v>
      </c>
      <c r="H18" s="43" t="str">
        <f t="shared" si="0"/>
        <v>GuardDisposition</v>
      </c>
      <c r="I18" s="43" t="str">
        <f t="shared" si="6"/>
        <v>Strip</v>
      </c>
      <c r="J18" s="43">
        <f t="shared" si="2"/>
        <v>1</v>
      </c>
      <c r="K18" s="43" t="str">
        <f t="shared" si="3"/>
        <v>0X01</v>
      </c>
      <c r="L18" s="43" t="str">
        <f t="shared" si="8"/>
        <v>GCD_DSP_STRIP</v>
      </c>
      <c r="M18" s="43"/>
      <c r="N18" s="44"/>
    </row>
    <row r="19" spans="1:14" x14ac:dyDescent="0.25">
      <c r="A19" s="43" t="s">
        <v>572</v>
      </c>
      <c r="B19" s="43" t="s">
        <v>590</v>
      </c>
      <c r="C19" s="43"/>
      <c r="D19" s="43"/>
      <c r="E19" s="44"/>
      <c r="F19" s="43"/>
      <c r="G19" s="43"/>
      <c r="H19" s="43" t="str">
        <f t="shared" si="0"/>
        <v>LockState</v>
      </c>
      <c r="I19" s="43" t="str">
        <f t="shared" si="6"/>
        <v>Unlocked</v>
      </c>
      <c r="J19" s="43">
        <f t="shared" si="2"/>
        <v>0</v>
      </c>
      <c r="K19" s="43" t="str">
        <f t="shared" ref="K19:K20" si="10">CONCATENATE("0X",DEC2HEX(J19,2))</f>
        <v>0X00</v>
      </c>
      <c r="L19" s="43" t="str">
        <f t="shared" ref="L19:L20" si="11">UPPER(CONCATENATE(VLOOKUP($A19,Character_Type_Prefix_Values,MATCH("Prefix",Character_Type_Prefix_Labels,0),FALSE),B19))</f>
        <v>LKS_DSP_UNLOCKED</v>
      </c>
      <c r="M19" s="43"/>
      <c r="N19" s="44"/>
    </row>
    <row r="20" spans="1:14" x14ac:dyDescent="0.25">
      <c r="A20" s="43" t="s">
        <v>572</v>
      </c>
      <c r="B20" s="43" t="s">
        <v>591</v>
      </c>
      <c r="C20" s="43"/>
      <c r="D20" s="43"/>
      <c r="E20" s="44"/>
      <c r="F20" s="43"/>
      <c r="G20" s="43"/>
      <c r="H20" s="43" t="str">
        <f t="shared" si="0"/>
        <v>LockState</v>
      </c>
      <c r="I20" s="43" t="str">
        <f t="shared" si="6"/>
        <v>Locked</v>
      </c>
      <c r="J20" s="43">
        <f t="shared" si="2"/>
        <v>1</v>
      </c>
      <c r="K20" s="43" t="str">
        <f t="shared" si="10"/>
        <v>0X01</v>
      </c>
      <c r="L20" s="43" t="str">
        <f t="shared" si="11"/>
        <v>LKS_DSP_LOCKED</v>
      </c>
      <c r="M20" s="43"/>
      <c r="N20" s="44"/>
    </row>
  </sheetData>
  <mergeCells count="5">
    <mergeCell ref="L1:N1"/>
    <mergeCell ref="A1:A2"/>
    <mergeCell ref="F1:G1"/>
    <mergeCell ref="B1:E1"/>
    <mergeCell ref="H1:K1"/>
  </mergeCells>
  <conditionalFormatting sqref="B3:N3">
    <cfRule type="expression" dxfId="16" priority="13">
      <formula>LEN(B3)=0</formula>
    </cfRule>
  </conditionalFormatting>
  <conditionalFormatting sqref="A4:A18">
    <cfRule type="expression" dxfId="15" priority="12">
      <formula>LEN(A4)=0</formula>
    </cfRule>
  </conditionalFormatting>
  <conditionalFormatting sqref="B4:I18 K4:N18">
    <cfRule type="expression" dxfId="14" priority="11">
      <formula>LEN(B4)=0</formula>
    </cfRule>
  </conditionalFormatting>
  <conditionalFormatting sqref="A3">
    <cfRule type="expression" dxfId="13" priority="10">
      <formula>LEN(A3)=0</formula>
    </cfRule>
  </conditionalFormatting>
  <conditionalFormatting sqref="A19">
    <cfRule type="expression" dxfId="12" priority="9">
      <formula>LEN(A19)=0</formula>
    </cfRule>
  </conditionalFormatting>
  <conditionalFormatting sqref="B19:G19 M19:N19 I19">
    <cfRule type="expression" dxfId="11" priority="8">
      <formula>LEN(B19)=0</formula>
    </cfRule>
  </conditionalFormatting>
  <conditionalFormatting sqref="A20">
    <cfRule type="expression" dxfId="10" priority="7">
      <formula>LEN(A20)=0</formula>
    </cfRule>
  </conditionalFormatting>
  <conditionalFormatting sqref="B20:G20 M20:N20 I20">
    <cfRule type="expression" dxfId="9" priority="6">
      <formula>LEN(B20)=0</formula>
    </cfRule>
  </conditionalFormatting>
  <conditionalFormatting sqref="J4:J20">
    <cfRule type="expression" dxfId="8" priority="5">
      <formula>LEN(J4)=0</formula>
    </cfRule>
  </conditionalFormatting>
  <conditionalFormatting sqref="K19:L19">
    <cfRule type="expression" dxfId="7" priority="4">
      <formula>LEN(K19)=0</formula>
    </cfRule>
  </conditionalFormatting>
  <conditionalFormatting sqref="K20:L20">
    <cfRule type="expression" dxfId="6" priority="3">
      <formula>LEN(K20)=0</formula>
    </cfRule>
  </conditionalFormatting>
  <conditionalFormatting sqref="H19">
    <cfRule type="expression" dxfId="5" priority="2">
      <formula>LEN(H19)=0</formula>
    </cfRule>
  </conditionalFormatting>
  <conditionalFormatting sqref="H20">
    <cfRule type="expression" dxfId="4" priority="1">
      <formula>LEN(H20)=0</formula>
    </cfRule>
  </conditionalFormatting>
  <dataValidations count="1">
    <dataValidation type="list" allowBlank="1" showInputMessage="1" showErrorMessage="1" sqref="A3:A20">
      <formula1>Character_Type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A1:C21"/>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RowHeight="15" x14ac:dyDescent="0.25"/>
  <cols>
    <col min="1" max="1" width="34.625" bestFit="1" customWidth="1"/>
    <col min="2" max="3" width="55.625" customWidth="1"/>
  </cols>
  <sheetData>
    <row r="1" spans="1:3" ht="18" x14ac:dyDescent="0.25">
      <c r="A1" s="35" t="s">
        <v>5</v>
      </c>
      <c r="B1" s="35" t="s">
        <v>462</v>
      </c>
      <c r="C1" s="35" t="s">
        <v>8</v>
      </c>
    </row>
    <row r="2" spans="1:3" x14ac:dyDescent="0.25">
      <c r="A2" s="36" t="s">
        <v>453</v>
      </c>
      <c r="B2" s="36" t="s">
        <v>463</v>
      </c>
      <c r="C2" s="37" t="s">
        <v>541</v>
      </c>
    </row>
    <row r="3" spans="1:3" x14ac:dyDescent="0.25">
      <c r="A3" s="38" t="s">
        <v>454</v>
      </c>
      <c r="B3" s="38" t="s">
        <v>464</v>
      </c>
      <c r="C3" s="39" t="s">
        <v>542</v>
      </c>
    </row>
    <row r="4" spans="1:3" ht="28.5" x14ac:dyDescent="0.25">
      <c r="A4" s="38" t="s">
        <v>455</v>
      </c>
      <c r="B4" s="38" t="s">
        <v>465</v>
      </c>
      <c r="C4" s="39" t="s">
        <v>540</v>
      </c>
    </row>
    <row r="5" spans="1:3" x14ac:dyDescent="0.25">
      <c r="A5" s="38" t="s">
        <v>456</v>
      </c>
      <c r="B5" s="38" t="s">
        <v>494</v>
      </c>
      <c r="C5" s="39" t="s">
        <v>543</v>
      </c>
    </row>
    <row r="6" spans="1:3" x14ac:dyDescent="0.25">
      <c r="A6" s="38" t="s">
        <v>457</v>
      </c>
      <c r="B6" s="38" t="s">
        <v>466</v>
      </c>
      <c r="C6" s="39" t="s">
        <v>546</v>
      </c>
    </row>
    <row r="7" spans="1:3" ht="28.5" x14ac:dyDescent="0.25">
      <c r="A7" s="38" t="s">
        <v>495</v>
      </c>
      <c r="B7" s="38" t="s">
        <v>497</v>
      </c>
      <c r="C7" s="39" t="s">
        <v>547</v>
      </c>
    </row>
    <row r="8" spans="1:3" x14ac:dyDescent="0.25">
      <c r="A8" s="38" t="s">
        <v>496</v>
      </c>
      <c r="B8" s="38" t="s">
        <v>498</v>
      </c>
      <c r="C8" s="39" t="s">
        <v>544</v>
      </c>
    </row>
    <row r="9" spans="1:3" x14ac:dyDescent="0.25">
      <c r="A9" s="38" t="s">
        <v>458</v>
      </c>
      <c r="B9" s="38" t="s">
        <v>467</v>
      </c>
      <c r="C9" s="39" t="s">
        <v>545</v>
      </c>
    </row>
    <row r="10" spans="1:3" ht="45" x14ac:dyDescent="0.25">
      <c r="A10" s="38" t="s">
        <v>459</v>
      </c>
      <c r="B10" s="40" t="s">
        <v>468</v>
      </c>
      <c r="C10" s="39" t="s">
        <v>499</v>
      </c>
    </row>
    <row r="11" spans="1:3" ht="57" x14ac:dyDescent="0.25">
      <c r="A11" s="38" t="s">
        <v>460</v>
      </c>
      <c r="B11" s="38" t="s">
        <v>469</v>
      </c>
      <c r="C11" s="39" t="s">
        <v>470</v>
      </c>
    </row>
    <row r="12" spans="1:3" x14ac:dyDescent="0.25">
      <c r="A12" s="38" t="s">
        <v>527</v>
      </c>
      <c r="B12" s="38" t="s">
        <v>471</v>
      </c>
      <c r="C12" s="39" t="s">
        <v>491</v>
      </c>
    </row>
    <row r="13" spans="1:3" x14ac:dyDescent="0.25">
      <c r="A13" s="38" t="s">
        <v>525</v>
      </c>
      <c r="B13" s="38" t="s">
        <v>472</v>
      </c>
      <c r="C13" s="39" t="s">
        <v>492</v>
      </c>
    </row>
    <row r="14" spans="1:3" x14ac:dyDescent="0.25">
      <c r="A14" s="38" t="s">
        <v>526</v>
      </c>
      <c r="B14" s="38" t="s">
        <v>473</v>
      </c>
      <c r="C14" s="39" t="s">
        <v>493</v>
      </c>
    </row>
    <row r="15" spans="1:3" ht="60" x14ac:dyDescent="0.25">
      <c r="A15" s="38" t="s">
        <v>461</v>
      </c>
      <c r="B15" s="40" t="str">
        <f ca="1">INDIRECT(A15)</f>
        <v>Delimiter         = {0}{6}Guard Character   = {1}{6}Trim White Space  = {2}{6}Guard Disposition = {3}{6}Lock State        = {4}{6}Lock Method       = {5}{6}</v>
      </c>
      <c r="C15" s="39" t="s">
        <v>484</v>
      </c>
    </row>
    <row r="16" spans="1:3" x14ac:dyDescent="0.25">
      <c r="A16" s="38" t="s">
        <v>482</v>
      </c>
      <c r="B16" s="38" t="str">
        <f ca="1">INDIRECT(A16)</f>
        <v>{0},{1},{2},{3},{4},{5}</v>
      </c>
      <c r="C16" s="39" t="s">
        <v>586</v>
      </c>
    </row>
    <row r="17" spans="1:3" ht="57" x14ac:dyDescent="0.25">
      <c r="A17" s="38" t="s">
        <v>587</v>
      </c>
      <c r="B17" s="40" t="s">
        <v>588</v>
      </c>
      <c r="C17" s="39" t="s">
        <v>589</v>
      </c>
    </row>
    <row r="18" spans="1:3" x14ac:dyDescent="0.25">
      <c r="A18" s="38"/>
      <c r="B18" s="38"/>
      <c r="C18" s="39"/>
    </row>
    <row r="19" spans="1:3" x14ac:dyDescent="0.25">
      <c r="A19" s="38"/>
      <c r="B19" s="38"/>
      <c r="C19" s="39"/>
    </row>
    <row r="20" spans="1:3" x14ac:dyDescent="0.25">
      <c r="A20" s="38"/>
      <c r="B20" s="38"/>
      <c r="C20" s="39"/>
    </row>
    <row r="21" spans="1:3" x14ac:dyDescent="0.25">
      <c r="A21" s="38"/>
      <c r="B21" s="38"/>
      <c r="C21" s="39"/>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0.749992370372631"/>
  </sheetPr>
  <dimension ref="A1:K11"/>
  <sheetViews>
    <sheetView workbookViewId="0">
      <selection activeCell="D28" sqref="D28"/>
    </sheetView>
  </sheetViews>
  <sheetFormatPr defaultRowHeight="15" x14ac:dyDescent="0.25"/>
  <cols>
    <col min="1" max="1" width="20.25" bestFit="1" customWidth="1"/>
    <col min="2" max="2" width="8.875" bestFit="1" customWidth="1"/>
    <col min="3" max="3" width="9.375" bestFit="1" customWidth="1"/>
    <col min="4" max="4" width="17.125" bestFit="1" customWidth="1"/>
    <col min="5" max="5" width="8" bestFit="1" customWidth="1"/>
    <col min="6" max="6" width="16" bestFit="1" customWidth="1"/>
    <col min="7" max="7" width="9.375" bestFit="1" customWidth="1"/>
    <col min="8" max="8" width="27.375" bestFit="1" customWidth="1"/>
    <col min="9" max="9" width="121.25" bestFit="1" customWidth="1"/>
    <col min="10" max="10" width="25.25" bestFit="1" customWidth="1"/>
    <col min="11" max="11" width="42.375" bestFit="1" customWidth="1"/>
  </cols>
  <sheetData>
    <row r="1" spans="1:11" ht="18" x14ac:dyDescent="0.25">
      <c r="A1" s="94" t="s">
        <v>574</v>
      </c>
      <c r="B1" s="96" t="s">
        <v>510</v>
      </c>
      <c r="C1" s="97"/>
      <c r="D1" s="94" t="s">
        <v>440</v>
      </c>
    </row>
    <row r="2" spans="1:11" ht="18" x14ac:dyDescent="0.25">
      <c r="A2" s="95"/>
      <c r="B2" s="28" t="s">
        <v>511</v>
      </c>
      <c r="C2" s="28" t="s">
        <v>478</v>
      </c>
      <c r="D2" s="95"/>
      <c r="E2" s="28"/>
      <c r="F2" s="28"/>
      <c r="G2" s="28"/>
      <c r="H2" s="28"/>
      <c r="I2" s="28"/>
      <c r="J2" s="28"/>
      <c r="K2" s="33"/>
    </row>
    <row r="3" spans="1:11" ht="18" x14ac:dyDescent="0.25">
      <c r="A3" s="28" t="str">
        <f>IF(ISBLANK(A2),A1,A2)</f>
        <v>Object Property</v>
      </c>
      <c r="B3" s="28" t="str">
        <f>IF(ISBLANK(B2),B1,B2)</f>
        <v>Prefix</v>
      </c>
      <c r="C3" s="28" t="str">
        <f>IF(ISBLANK(C2),C1,C2)</f>
        <v>Length</v>
      </c>
      <c r="D3" s="28" t="str">
        <f>IF(ISBLANK(D2),D1,D2)</f>
        <v>Enumeration</v>
      </c>
      <c r="E3" s="28" t="s">
        <v>477</v>
      </c>
      <c r="F3" s="28" t="s">
        <v>480</v>
      </c>
      <c r="G3" s="28" t="s">
        <v>478</v>
      </c>
      <c r="H3" s="28" t="s">
        <v>479</v>
      </c>
      <c r="I3" s="28" t="s">
        <v>483</v>
      </c>
      <c r="J3" s="28" t="s">
        <v>482</v>
      </c>
      <c r="K3" s="33" t="str">
        <f>CONCATENATE(J3," StringBuilder")</f>
        <v>EQUALS_TEMPLATE StringBuilder</v>
      </c>
    </row>
    <row r="4" spans="1:11" x14ac:dyDescent="0.25">
      <c r="A4" s="27" t="s">
        <v>568</v>
      </c>
      <c r="B4" s="27" t="s">
        <v>523</v>
      </c>
      <c r="C4" s="27">
        <f t="shared" ref="C4:C9" si="0">LEN(B4)</f>
        <v>8</v>
      </c>
      <c r="D4" s="27" t="str">
        <f>SUBSTITUTE(A4,CHAR(32),"")</f>
        <v>DelimiterChar</v>
      </c>
      <c r="E4" s="29">
        <f>IF(AND(ISBLANK(F4),ISBLANK(G4)),"",IF(ISNUMBER(E2),E2+1,0))</f>
        <v>0</v>
      </c>
      <c r="F4" s="29" t="s">
        <v>474</v>
      </c>
      <c r="G4" s="29">
        <f>IF(ISBLANK(F4),"",LEN(F4))</f>
        <v>9</v>
      </c>
      <c r="H4" s="29" t="str">
        <f t="shared" ref="H4:H9" si="1">CONCATENATE(F4,REPT(CHAR(32),Maxium_Property_Label_Length+1-G4),"= {",E4,"}{",Newline_Format_Item_Index,"}")</f>
        <v>Delimiter         = {0}{6}</v>
      </c>
      <c r="I4" s="46" t="str">
        <f>IF(ROW(H4)=4,H4,CONCATENATE(I3,H4))</f>
        <v>Delimiter         = {0}{6}</v>
      </c>
      <c r="J4" s="29" t="str">
        <f>CONCATENATE("{",E4,"}")</f>
        <v>{0}</v>
      </c>
      <c r="K4" s="32" t="str">
        <f>IF(ROW(J4)=4,J4,CONCATENATE(K3,",",J4))</f>
        <v>{0}</v>
      </c>
    </row>
    <row r="5" spans="1:11" x14ac:dyDescent="0.25">
      <c r="A5" s="27" t="s">
        <v>569</v>
      </c>
      <c r="B5" s="27" t="s">
        <v>524</v>
      </c>
      <c r="C5" s="27">
        <f t="shared" si="0"/>
        <v>8</v>
      </c>
      <c r="D5" s="27" t="str">
        <f t="shared" ref="D5:D9" si="2">SUBSTITUTE(A5,CHAR(32),"")</f>
        <v>GuardChar</v>
      </c>
      <c r="E5" s="30">
        <f t="shared" ref="E5:E9" si="3">IF(AND(ISBLANK(F5),ISBLANK(G5)),"",IF(ISNUMBER(E4),E4+1,0))</f>
        <v>1</v>
      </c>
      <c r="F5" s="30" t="s">
        <v>475</v>
      </c>
      <c r="G5" s="30">
        <f t="shared" ref="G5:G9" si="4">IF(ISBLANK(F5),"",LEN(F5))</f>
        <v>15</v>
      </c>
      <c r="H5" s="29" t="str">
        <f t="shared" si="1"/>
        <v>Guard Character   = {1}{6}</v>
      </c>
      <c r="I5" s="46" t="str">
        <f t="shared" ref="I5:I9" si="5">IF(ROW(H5)=4,H5,CONCATENATE(I4,H5))</f>
        <v>Delimiter         = {0}{6}Guard Character   = {1}{6}</v>
      </c>
      <c r="J5" s="29" t="str">
        <f t="shared" ref="J5:J9" si="6">CONCATENATE("{",E5,"}")</f>
        <v>{1}</v>
      </c>
      <c r="K5" s="32" t="str">
        <f t="shared" ref="K5:K9" si="7">IF(ROW(J5)=4,J5,CONCATENATE(K4,",",J5))</f>
        <v>{0},{1}</v>
      </c>
    </row>
    <row r="6" spans="1:11" x14ac:dyDescent="0.25">
      <c r="A6" s="27" t="s">
        <v>570</v>
      </c>
      <c r="B6" s="27" t="s">
        <v>571</v>
      </c>
      <c r="C6" s="27">
        <f t="shared" si="0"/>
        <v>8</v>
      </c>
      <c r="D6" s="27" t="str">
        <f t="shared" si="2"/>
        <v>TrimWhiteSpace</v>
      </c>
      <c r="E6" s="30">
        <f t="shared" si="3"/>
        <v>2</v>
      </c>
      <c r="F6" s="30" t="str">
        <f>A6</f>
        <v>Trim White Space</v>
      </c>
      <c r="G6" s="30">
        <f t="shared" si="4"/>
        <v>16</v>
      </c>
      <c r="H6" s="29" t="str">
        <f t="shared" si="1"/>
        <v>Trim White Space  = {2}{6}</v>
      </c>
      <c r="I6" s="46" t="str">
        <f t="shared" si="5"/>
        <v>Delimiter         = {0}{6}Guard Character   = {1}{6}Trim White Space  = {2}{6}</v>
      </c>
      <c r="J6" s="29" t="str">
        <f t="shared" si="6"/>
        <v>{2}</v>
      </c>
      <c r="K6" s="32" t="str">
        <f t="shared" si="7"/>
        <v>{0},{1},{2}</v>
      </c>
    </row>
    <row r="7" spans="1:11" x14ac:dyDescent="0.25">
      <c r="A7" s="27" t="s">
        <v>563</v>
      </c>
      <c r="B7" s="27" t="s">
        <v>564</v>
      </c>
      <c r="C7" s="27">
        <f t="shared" si="0"/>
        <v>8</v>
      </c>
      <c r="D7" s="27" t="str">
        <f t="shared" si="2"/>
        <v>GuardDisposition</v>
      </c>
      <c r="E7" s="30">
        <f t="shared" si="3"/>
        <v>3</v>
      </c>
      <c r="F7" s="30" t="str">
        <f t="shared" ref="F7:F9" si="8">A7</f>
        <v>Guard Disposition</v>
      </c>
      <c r="G7" s="30">
        <f t="shared" si="4"/>
        <v>17</v>
      </c>
      <c r="H7" s="29" t="str">
        <f t="shared" si="1"/>
        <v>Guard Disposition = {3}{6}</v>
      </c>
      <c r="I7" s="46" t="str">
        <f t="shared" si="5"/>
        <v>Delimiter         = {0}{6}Guard Character   = {1}{6}Trim White Space  = {2}{6}Guard Disposition = {3}{6}</v>
      </c>
      <c r="J7" s="29" t="str">
        <f t="shared" si="6"/>
        <v>{3}</v>
      </c>
      <c r="K7" s="32" t="str">
        <f t="shared" si="7"/>
        <v>{0},{1},{2},{3}</v>
      </c>
    </row>
    <row r="8" spans="1:11" x14ac:dyDescent="0.25">
      <c r="A8" s="27" t="s">
        <v>572</v>
      </c>
      <c r="B8" s="27" t="s">
        <v>573</v>
      </c>
      <c r="C8" s="27">
        <f t="shared" si="0"/>
        <v>8</v>
      </c>
      <c r="D8" s="27" t="str">
        <f t="shared" si="2"/>
        <v>LockState</v>
      </c>
      <c r="E8" s="30">
        <f t="shared" si="3"/>
        <v>4</v>
      </c>
      <c r="F8" s="30" t="str">
        <f t="shared" si="8"/>
        <v>Lock State</v>
      </c>
      <c r="G8" s="31">
        <f t="shared" si="4"/>
        <v>10</v>
      </c>
      <c r="H8" s="29" t="str">
        <f t="shared" si="1"/>
        <v>Lock State        = {4}{6}</v>
      </c>
      <c r="I8" s="46" t="str">
        <f t="shared" si="5"/>
        <v>Delimiter         = {0}{6}Guard Character   = {1}{6}Trim White Space  = {2}{6}Guard Disposition = {3}{6}Lock State        = {4}{6}</v>
      </c>
      <c r="J8" s="29" t="str">
        <f t="shared" si="6"/>
        <v>{4}</v>
      </c>
      <c r="K8" s="32" t="str">
        <f t="shared" si="7"/>
        <v>{0},{1},{2},{3},{4}</v>
      </c>
    </row>
    <row r="9" spans="1:11" x14ac:dyDescent="0.25">
      <c r="A9" s="27" t="s">
        <v>476</v>
      </c>
      <c r="B9" s="27" t="s">
        <v>567</v>
      </c>
      <c r="C9" s="27">
        <f t="shared" si="0"/>
        <v>8</v>
      </c>
      <c r="D9" s="27" t="str">
        <f t="shared" si="2"/>
        <v>LockMethod</v>
      </c>
      <c r="E9" s="30">
        <f t="shared" si="3"/>
        <v>5</v>
      </c>
      <c r="F9" s="30" t="str">
        <f t="shared" si="8"/>
        <v>Lock Method</v>
      </c>
      <c r="G9" s="31">
        <f t="shared" si="4"/>
        <v>11</v>
      </c>
      <c r="H9" s="29" t="str">
        <f t="shared" si="1"/>
        <v>Lock Method       = {5}{6}</v>
      </c>
      <c r="I9" s="46" t="str">
        <f t="shared" si="5"/>
        <v>Delimiter         = {0}{6}Guard Character   = {1}{6}Trim White Space  = {2}{6}Guard Disposition = {3}{6}Lock State        = {4}{6}Lock Method       = {5}{6}</v>
      </c>
      <c r="J9" s="29" t="str">
        <f t="shared" si="6"/>
        <v>{5}</v>
      </c>
      <c r="K9" s="32" t="str">
        <f t="shared" si="7"/>
        <v>{0},{1},{2},{3},{4},{5}</v>
      </c>
    </row>
    <row r="10" spans="1:11" x14ac:dyDescent="0.25">
      <c r="E10" s="92" t="s">
        <v>481</v>
      </c>
      <c r="F10" s="93"/>
      <c r="G10" s="93"/>
      <c r="H10" s="93"/>
      <c r="I10" s="93"/>
      <c r="J10" s="93"/>
      <c r="K10" s="93"/>
    </row>
    <row r="11" spans="1:11" x14ac:dyDescent="0.25">
      <c r="E11" s="29">
        <f>MAX(Property_Item_Indices)+1</f>
        <v>6</v>
      </c>
      <c r="G11" s="29">
        <f>MAX(Property_Label_Lengths)</f>
        <v>17</v>
      </c>
    </row>
  </sheetData>
  <mergeCells count="4">
    <mergeCell ref="E10:K10"/>
    <mergeCell ref="A1:A2"/>
    <mergeCell ref="B1:C1"/>
    <mergeCell ref="D1:D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24"/>
  <sheetViews>
    <sheetView workbookViewId="0">
      <selection activeCell="A28" sqref="A28"/>
    </sheetView>
  </sheetViews>
  <sheetFormatPr defaultRowHeight="15" x14ac:dyDescent="0.25"/>
  <cols>
    <col min="1" max="1" width="167.625" customWidth="1"/>
    <col min="2" max="2" width="141.375" bestFit="1" customWidth="1"/>
    <col min="3" max="3" width="6" customWidth="1"/>
    <col min="4" max="4" width="20.125" bestFit="1" customWidth="1"/>
  </cols>
  <sheetData>
    <row r="1" spans="1:4" ht="18" x14ac:dyDescent="0.25">
      <c r="A1" s="7" t="s">
        <v>145</v>
      </c>
      <c r="B1" s="7" t="s">
        <v>146</v>
      </c>
      <c r="C1" s="8" t="s">
        <v>144</v>
      </c>
      <c r="D1" s="7" t="s">
        <v>142</v>
      </c>
    </row>
    <row r="2" spans="1:4" x14ac:dyDescent="0.25">
      <c r="A2" s="11" t="s">
        <v>140</v>
      </c>
      <c r="B2" s="11" t="str">
        <f>[1]!GetFolder(A2)</f>
        <v>C:\bin</v>
      </c>
      <c r="C2" s="9">
        <v>8468</v>
      </c>
      <c r="D2" s="10">
        <v>42526.847777777781</v>
      </c>
    </row>
    <row r="3" spans="1:4" x14ac:dyDescent="0.25">
      <c r="A3" s="11" t="s">
        <v>128</v>
      </c>
      <c r="B3" s="11" t="str">
        <f>[1]!GetFolder(A3)</f>
        <v>C:\Users\DAVE\Documents\Programming\Visual_Studio_6\DLL\ProcessInfo\CDeclToStdCallMigrationTool\CDeclToStdCallMigrationTool\bin\Debug</v>
      </c>
      <c r="C3" s="9">
        <v>8468</v>
      </c>
      <c r="D3" s="10">
        <v>42526.847777777781</v>
      </c>
    </row>
    <row r="4" spans="1:4" x14ac:dyDescent="0.25">
      <c r="A4" s="11" t="s">
        <v>33</v>
      </c>
      <c r="B4" s="11" t="str">
        <f>[1]!GetFolder(A4)</f>
        <v>C:\Users\DAVE\Documents\Visual Studio 2013\Projects\_Laboratory\ConsoleOutputSpeedTest\ConsoleOutputSpeedTest\bin\Debug</v>
      </c>
      <c r="C4" s="9">
        <v>8468</v>
      </c>
      <c r="D4" s="10">
        <v>42526.847777777781</v>
      </c>
    </row>
    <row r="5" spans="1:4" x14ac:dyDescent="0.25">
      <c r="A5" s="11" t="s">
        <v>32</v>
      </c>
      <c r="B5" s="11" t="str">
        <f>[1]!GetFolder(A5)</f>
        <v>C:\Users\DAVE\Documents\Visual Studio 2013\Projects\_Laboratory\CSharp_Lab\bin\Debug</v>
      </c>
      <c r="C5" s="9">
        <v>8468</v>
      </c>
      <c r="D5" s="10">
        <v>42526.847777777781</v>
      </c>
    </row>
    <row r="6" spans="1:4" x14ac:dyDescent="0.25">
      <c r="A6" s="11" t="s">
        <v>31</v>
      </c>
      <c r="B6" s="11" t="str">
        <f>[1]!GetFolder(A6)</f>
        <v>C:\Users\DAVE\Documents\Visual Studio 2013\Projects\_Laboratory\CSharp_Lab\bin\x86\Debug</v>
      </c>
      <c r="C6" s="9">
        <v>8468</v>
      </c>
      <c r="D6" s="10">
        <v>42526.847777777781</v>
      </c>
    </row>
    <row r="7" spans="1:4" x14ac:dyDescent="0.25">
      <c r="A7" s="11" t="s">
        <v>30</v>
      </c>
      <c r="B7" s="11" t="str">
        <f>[1]!GetFolder(A7)</f>
        <v>C:\Users\DAVE\Documents\Visual Studio 2013\Projects\_Laboratory\CSharp_Lab\CSharp_Lab\bin\Debug</v>
      </c>
      <c r="C7" s="9">
        <v>8468</v>
      </c>
      <c r="D7" s="10">
        <v>42526.847777777781</v>
      </c>
    </row>
    <row r="8" spans="1:4" x14ac:dyDescent="0.25">
      <c r="A8" s="11" t="s">
        <v>29</v>
      </c>
      <c r="B8" s="11" t="str">
        <f>[1]!GetFolder(A8)</f>
        <v>C:\Users\DAVE\Documents\Visual Studio 2013\Projects\_Laboratory\CSharp_Lab\CSharp_Lab\bin\x86\Debug</v>
      </c>
      <c r="C8" s="9">
        <v>8468</v>
      </c>
      <c r="D8" s="10">
        <v>42526.847777777781</v>
      </c>
    </row>
    <row r="9" spans="1:4" x14ac:dyDescent="0.25">
      <c r="A9" s="11" t="s">
        <v>28</v>
      </c>
      <c r="B9" s="11" t="str">
        <f>[1]!GetFolder(A9)</f>
        <v>C:\Users\DAVE\Documents\Visual Studio 2013\Projects\_Laboratory\TimeZoneLab\TimeZoneLab</v>
      </c>
      <c r="C9" s="9">
        <v>8468</v>
      </c>
      <c r="D9" s="10">
        <v>42526.847777777781</v>
      </c>
    </row>
    <row r="10" spans="1:4" x14ac:dyDescent="0.25">
      <c r="A10" s="11" t="s">
        <v>27</v>
      </c>
      <c r="B10" s="11" t="str">
        <f>[1]!GetFolder(A10)</f>
        <v>C:\Users\DAVE\Documents\Visual Studio 2013\Projects\_Laboratory\TimeZoneLab\TimeZoneLab\bin\Debug</v>
      </c>
      <c r="C10" s="9">
        <v>8468</v>
      </c>
      <c r="D10" s="10">
        <v>42526.847777777781</v>
      </c>
    </row>
    <row r="11" spans="1:4" x14ac:dyDescent="0.25">
      <c r="A11" s="11" t="s">
        <v>26</v>
      </c>
      <c r="B11" s="11" t="str">
        <f>[1]!GetFolder(A11)</f>
        <v>C:\Users\DAVE\Documents\Visual Studio 2013\Projects\_Laboratory\TimeZoneLab\TimeZoneLab\bin\Release</v>
      </c>
      <c r="C11" s="9">
        <v>8468</v>
      </c>
      <c r="D11" s="10">
        <v>42526.847777777781</v>
      </c>
    </row>
    <row r="12" spans="1:4" x14ac:dyDescent="0.25">
      <c r="A12" s="11" t="s">
        <v>127</v>
      </c>
      <c r="B12" s="11" t="str">
        <f>[1]!GetFolder(A12)</f>
        <v>C:\Users\DAVE\Documents\Visual Studio 2013\Projects\Console_Apps\CSV2JSONRT\CSV2JSONRT\bin\x86\Debug</v>
      </c>
      <c r="C12" s="9">
        <v>8468</v>
      </c>
      <c r="D12" s="10">
        <v>42526.847777777781</v>
      </c>
    </row>
    <row r="13" spans="1:4" x14ac:dyDescent="0.25">
      <c r="A13" s="11" t="s">
        <v>126</v>
      </c>
      <c r="B13" s="11" t="str">
        <f>[1]!GetFolder(A13)</f>
        <v>C:\Users\DAVE\Documents\Visual Studio 2013\Projects\Console_Apps\CSV2JSONRT\CSV2JSONRT\bin\x86\Release</v>
      </c>
      <c r="C13" s="9">
        <v>8468</v>
      </c>
      <c r="D13" s="10">
        <v>42526.847777777781</v>
      </c>
    </row>
    <row r="14" spans="1:4" x14ac:dyDescent="0.25">
      <c r="A14" s="11" t="s">
        <v>125</v>
      </c>
      <c r="B14" s="11" t="str">
        <f>[1]!GetFolder(A14)</f>
        <v>C:\Users\DAVE\Documents\Visual Studio 2013\Projects\Console_Apps\Date2FN\Date2FN\bin\Debug</v>
      </c>
      <c r="C14" s="9">
        <v>8468</v>
      </c>
      <c r="D14" s="10">
        <v>42526.847777777781</v>
      </c>
    </row>
    <row r="15" spans="1:4" x14ac:dyDescent="0.25">
      <c r="A15" s="11" t="s">
        <v>124</v>
      </c>
      <c r="B15" s="11" t="str">
        <f>[1]!GetFolder(A15)</f>
        <v>C:\Users\DAVE\Documents\Visual Studio 2013\Projects\Console_Apps\FixEventLogExport\FixEventLogExport</v>
      </c>
      <c r="C15" s="9">
        <v>8468</v>
      </c>
      <c r="D15" s="10">
        <v>42526.847777777781</v>
      </c>
    </row>
    <row r="16" spans="1:4" x14ac:dyDescent="0.25">
      <c r="A16" s="11" t="s">
        <v>123</v>
      </c>
      <c r="B16" s="11" t="str">
        <f>[1]!GetFolder(A16)</f>
        <v>C:\Users\DAVE\Documents\Visual Studio 2013\Projects\Console_Apps\FixEventLogExport\FixEventLogExport\bin\Debug</v>
      </c>
      <c r="C16" s="9">
        <v>8468</v>
      </c>
      <c r="D16" s="10">
        <v>42526.847777777781</v>
      </c>
    </row>
    <row r="17" spans="1:4" x14ac:dyDescent="0.25">
      <c r="A17" s="11" t="s">
        <v>122</v>
      </c>
      <c r="B17" s="11" t="str">
        <f>[1]!GetFolder(A17)</f>
        <v>C:\Users\DAVE\Documents\Visual Studio 2013\Projects\Console_Apps\FixEventLogExport\FixEventLogExport\bin\x86\Debug</v>
      </c>
      <c r="C17" s="9">
        <v>8468</v>
      </c>
      <c r="D17" s="10">
        <v>42526.847777777781</v>
      </c>
    </row>
    <row r="18" spans="1:4" x14ac:dyDescent="0.25">
      <c r="A18" s="11" t="s">
        <v>121</v>
      </c>
      <c r="B18" s="11" t="str">
        <f>[1]!GetFolder(A18)</f>
        <v>C:\Users\DAVE\Documents\Visual Studio 2013\Projects\Console_Apps\FixEventLogExport\FixEventLogExport\bin\x86\Release</v>
      </c>
      <c r="C18" s="9">
        <v>8468</v>
      </c>
      <c r="D18" s="10">
        <v>42526.847777777781</v>
      </c>
    </row>
    <row r="19" spans="1:4" x14ac:dyDescent="0.25">
      <c r="A19" s="11" t="s">
        <v>120</v>
      </c>
      <c r="B19" s="11" t="str">
        <f>[1]!GetFolder(A19)</f>
        <v>C:\Users\DAVE\Documents\Visual Studio 2013\Projects\Console_Apps\FixEventLogExport\FixEventLogExport_Distribution_Package</v>
      </c>
      <c r="C19" s="9">
        <v>8468</v>
      </c>
      <c r="D19" s="10">
        <v>42526.847777777781</v>
      </c>
    </row>
    <row r="20" spans="1:4" x14ac:dyDescent="0.25">
      <c r="A20" s="11" t="s">
        <v>119</v>
      </c>
      <c r="B20" s="11" t="str">
        <f>[1]!GetFolder(A20)</f>
        <v>C:\Users\DAVE\Documents\Visual Studio 2013\Projects\Console_Apps\MassUpdateColorIndex\MassUpdateColorIndex\bin\Debug</v>
      </c>
      <c r="C20" s="9">
        <v>8468</v>
      </c>
      <c r="D20" s="10">
        <v>42526.847777777781</v>
      </c>
    </row>
    <row r="21" spans="1:4" x14ac:dyDescent="0.25">
      <c r="A21" s="11" t="s">
        <v>118</v>
      </c>
      <c r="B21" s="11" t="str">
        <f>[1]!GetFolder(A21)</f>
        <v>C:\Users\DAVE\Documents\Visual Studio 2013\Projects\Console_Apps\MassUpdateColorIndex\MassUpdateColorIndex\bin\Release</v>
      </c>
      <c r="C21" s="9">
        <v>8468</v>
      </c>
      <c r="D21" s="10">
        <v>42526.847777777781</v>
      </c>
    </row>
    <row r="22" spans="1:4" x14ac:dyDescent="0.25">
      <c r="A22" s="11" t="s">
        <v>117</v>
      </c>
      <c r="B22" s="11" t="str">
        <f>[1]!GetFolder(A22)</f>
        <v>C:\Users\DAVE\Documents\Visual Studio 2013\Projects\Console_Apps\MultiCat\MultiCat\bin\Debug</v>
      </c>
      <c r="C22" s="9">
        <v>8468</v>
      </c>
      <c r="D22" s="10">
        <v>42526.847777777781</v>
      </c>
    </row>
    <row r="23" spans="1:4" x14ac:dyDescent="0.25">
      <c r="A23" s="11" t="s">
        <v>116</v>
      </c>
      <c r="B23" s="11" t="str">
        <f>[1]!GetFolder(A23)</f>
        <v>C:\Users\DAVE\Documents\Visual Studio 2013\Projects\Console_Apps\NFiles\NFiles\bin\Debug</v>
      </c>
      <c r="C23" s="9">
        <v>8468</v>
      </c>
      <c r="D23" s="10">
        <v>42526.847777777781</v>
      </c>
    </row>
    <row r="24" spans="1:4" x14ac:dyDescent="0.25">
      <c r="A24" s="11" t="s">
        <v>115</v>
      </c>
      <c r="B24" s="11" t="str">
        <f>[1]!GetFolder(A24)</f>
        <v>C:\Users\DAVE\Documents\Visual Studio 2013\Projects\Console_Apps\WWEnumEnvironmentStrings\WWEnumEnvironmentStrings</v>
      </c>
      <c r="C24" s="9">
        <v>8468</v>
      </c>
      <c r="D24" s="10">
        <v>42526.847777777781</v>
      </c>
    </row>
    <row r="25" spans="1:4" x14ac:dyDescent="0.25">
      <c r="A25" s="11" t="s">
        <v>114</v>
      </c>
      <c r="B25" s="11" t="str">
        <f>[1]!GetFolder(A25)</f>
        <v>C:\Users\DAVE\Documents\Visual Studio 2013\Projects\Console_Apps\WWEnumEnvironmentStrings\WWEnumEnvironmentStrings\bin\Debug</v>
      </c>
      <c r="C25" s="9">
        <v>8468</v>
      </c>
      <c r="D25" s="10">
        <v>42526.847777777781</v>
      </c>
    </row>
    <row r="26" spans="1:4" x14ac:dyDescent="0.25">
      <c r="A26" s="11" t="s">
        <v>113</v>
      </c>
      <c r="B26" s="11" t="str">
        <f>[1]!GetFolder(A26)</f>
        <v>C:\Users\DAVE\Documents\Visual Studio 2013\Projects\Console_Apps\WWEnumEnvironmentStrings\WWEnumEnvironmentStrings\bin\Release</v>
      </c>
      <c r="C26" s="9">
        <v>8468</v>
      </c>
      <c r="D26" s="10">
        <v>42526.847777777781</v>
      </c>
    </row>
    <row r="27" spans="1:4" x14ac:dyDescent="0.25">
      <c r="A27" s="11" t="s">
        <v>112</v>
      </c>
      <c r="B27" s="11" t="str">
        <f>[1]!GetFolder(A27)</f>
        <v>C:\Users\DAVE\Documents\Visual Studio 2013\Projects\Console_Apps\WWEnumEnvironmentStrings\WWEnumEnvironmentStrings\bin\x86\Release</v>
      </c>
      <c r="C27" s="9">
        <v>8468</v>
      </c>
      <c r="D27" s="10">
        <v>42526.847777777781</v>
      </c>
    </row>
    <row r="28" spans="1:4" x14ac:dyDescent="0.25">
      <c r="A28" s="11" t="s">
        <v>111</v>
      </c>
      <c r="B28" s="11" t="str">
        <f>[1]!GetFolder(A28)</f>
        <v>C:\Users\DAVE\Documents\Visual Studio 2013\Projects\DatabaseApps\GeneralPurposeLogger\ConsoleApplication1\ConsoleApplication1</v>
      </c>
      <c r="C28" s="9">
        <v>8468</v>
      </c>
      <c r="D28" s="10">
        <v>42526.847777777781</v>
      </c>
    </row>
    <row r="29" spans="1:4" x14ac:dyDescent="0.25">
      <c r="A29" s="11" t="s">
        <v>110</v>
      </c>
      <c r="B29" s="11" t="str">
        <f>[1]!GetFolder(A29)</f>
        <v>C:\Users\DAVE\Documents\Visual Studio 2013\Projects\DatabaseApps\GeneralPurposeLogger\ConsoleApplication1\ConsoleApplication1\bin\Debug</v>
      </c>
      <c r="C29" s="9">
        <v>8468</v>
      </c>
      <c r="D29" s="10">
        <v>42526.847777777781</v>
      </c>
    </row>
    <row r="30" spans="1:4" x14ac:dyDescent="0.25">
      <c r="A30" s="11" t="s">
        <v>109</v>
      </c>
      <c r="B30" s="11" t="str">
        <f>[1]!GetFolder(A30)</f>
        <v>C:\Users\DAVE\Documents\Visual Studio 2013\Projects\NOLANB\DataEaseDirectoryReader\DataEase\bin\Debug</v>
      </c>
      <c r="C30" s="9">
        <v>8468</v>
      </c>
      <c r="D30" s="10">
        <v>42526.847777777781</v>
      </c>
    </row>
    <row r="31" spans="1:4" x14ac:dyDescent="0.25">
      <c r="A31" s="11" t="s">
        <v>108</v>
      </c>
      <c r="B31" s="11" t="str">
        <f>[1]!GetFolder(A31)</f>
        <v>C:\Users\DAVE\Documents\Visual Studio 2013\Projects\NOLANB\DataEaseDirectoryReader\DataEase\bin\Release</v>
      </c>
      <c r="C31" s="9">
        <v>8468</v>
      </c>
      <c r="D31" s="10">
        <v>42526.847777777781</v>
      </c>
    </row>
    <row r="32" spans="1:4" x14ac:dyDescent="0.25">
      <c r="A32" s="11" t="s">
        <v>107</v>
      </c>
      <c r="B32" s="11" t="str">
        <f>[1]!GetFolder(A32)</f>
        <v>C:\Users\DAVE\Documents\Visual Studio 2013\Projects\NOLANB\DataEaseDirectoryReader\DataEaseDirectoryReader</v>
      </c>
      <c r="C32" s="9">
        <v>8468</v>
      </c>
      <c r="D32" s="10">
        <v>42526.847777777781</v>
      </c>
    </row>
    <row r="33" spans="1:4" x14ac:dyDescent="0.25">
      <c r="A33" s="11" t="s">
        <v>106</v>
      </c>
      <c r="B33" s="11" t="str">
        <f>[1]!GetFolder(A33)</f>
        <v>C:\Users\DAVE\Documents\Visual Studio 2013\Projects\NOLANB\DataEaseDirectoryReader\DataEaseDirectoryReader\bin\Debug</v>
      </c>
      <c r="C33" s="9">
        <v>8468</v>
      </c>
      <c r="D33" s="10">
        <v>42526.847777777781</v>
      </c>
    </row>
    <row r="34" spans="1:4" x14ac:dyDescent="0.25">
      <c r="A34" s="11" t="s">
        <v>105</v>
      </c>
      <c r="B34" s="11" t="str">
        <f>[1]!GetFolder(A34)</f>
        <v>C:\Users\DAVE\Documents\Visual Studio 2013\Projects\NOLANB\DataEaseDirectoryReader\DataEaseDirectoryReader\bin\Release</v>
      </c>
      <c r="C34" s="9">
        <v>8468</v>
      </c>
      <c r="D34" s="10">
        <v>42526.847777777781</v>
      </c>
    </row>
    <row r="35" spans="1:4" x14ac:dyDescent="0.25">
      <c r="A35" s="11" t="s">
        <v>104</v>
      </c>
      <c r="B35" s="11" t="str">
        <f>[1]!GetFolder(A35)</f>
        <v>C:\Users\DAVE\Documents\Visual Studio 2013\Projects\NOLANB\DataEaseDirectoryReader\SupportMethodTester</v>
      </c>
      <c r="C35" s="9">
        <v>8468</v>
      </c>
      <c r="D35" s="10">
        <v>42526.847777777781</v>
      </c>
    </row>
    <row r="36" spans="1:4" x14ac:dyDescent="0.25">
      <c r="A36" s="11" t="s">
        <v>103</v>
      </c>
      <c r="B36" s="11" t="str">
        <f>[1]!GetFolder(A36)</f>
        <v>C:\Users\DAVE\Documents\Visual Studio 2013\Projects\NOLANB\DataEaseDirectoryReader\SupportMethodTester\bin\Debug</v>
      </c>
      <c r="C36" s="9">
        <v>8468</v>
      </c>
      <c r="D36" s="10">
        <v>42526.847777777781</v>
      </c>
    </row>
    <row r="37" spans="1:4" x14ac:dyDescent="0.25">
      <c r="A37" s="11" t="s">
        <v>102</v>
      </c>
      <c r="B37" s="11" t="str">
        <f>[1]!GetFolder(A37)</f>
        <v>C:\Users\DAVE\Documents\Visual Studio 2013\Projects\NOLANB\DataEaseDirectoryReader\SupportMethodTester\bin\Release</v>
      </c>
      <c r="C37" s="9">
        <v>8468</v>
      </c>
      <c r="D37" s="10">
        <v>42526.847777777781</v>
      </c>
    </row>
    <row r="38" spans="1:4" x14ac:dyDescent="0.25">
      <c r="A38" s="11" t="s">
        <v>100</v>
      </c>
      <c r="B38" s="11" t="str">
        <f>[1]!GetFolder(A38)</f>
        <v>C:\Users\DAVE\Documents\Visual Studio 2013\Projects\NOLANB\EZPayFileMonitor\EZPayFileMonitor\bin\Debug</v>
      </c>
      <c r="C38" s="9">
        <v>8468</v>
      </c>
      <c r="D38" s="10">
        <v>42526.847777777781</v>
      </c>
    </row>
    <row r="39" spans="1:4" x14ac:dyDescent="0.25">
      <c r="A39" s="11" t="s">
        <v>99</v>
      </c>
      <c r="B39" s="11" t="str">
        <f>[1]!GetFolder(A39)</f>
        <v>C:\Users\DAVE\Documents\Visual Studio 2013\Projects\NOLANB\EZPayFileMonitor\EZPayFileMonitor\bin\Release</v>
      </c>
      <c r="C39" s="9">
        <v>8468</v>
      </c>
      <c r="D39" s="10">
        <v>42526.847777777781</v>
      </c>
    </row>
    <row r="40" spans="1:4" x14ac:dyDescent="0.25">
      <c r="A40" s="11" t="s">
        <v>98</v>
      </c>
      <c r="B40" s="11" t="str">
        <f>[1]!GetFolder(A40)</f>
        <v>C:\Users\DAVE\Documents\Visual Studio 2013\Projects\NOLANB\EZPayWebPmtsNotifier\EZPayWebPmtsNotifier\bin\Debug</v>
      </c>
      <c r="C40" s="9">
        <v>8468</v>
      </c>
      <c r="D40" s="10">
        <v>42526.847777777781</v>
      </c>
    </row>
    <row r="41" spans="1:4" x14ac:dyDescent="0.25">
      <c r="A41" s="11" t="s">
        <v>97</v>
      </c>
      <c r="B41" s="11" t="str">
        <f>[1]!GetFolder(A41)</f>
        <v>C:\Users\DAVE\Documents\Visual Studio 2013\Projects\NOLANB\EZPayWebPmtsNotifier\EZPayWebPmtsNotifier\bin\Release</v>
      </c>
      <c r="C41" s="9">
        <v>8468</v>
      </c>
      <c r="D41" s="10">
        <v>42526.847777777781</v>
      </c>
    </row>
    <row r="42" spans="1:4" x14ac:dyDescent="0.25">
      <c r="A42" s="11" t="s">
        <v>96</v>
      </c>
      <c r="B42" s="11" t="str">
        <f>[1]!GetFolder(A42)</f>
        <v>C:\Users\DAVE\Documents\Visual Studio 2013\Projects\NOLANB\EZXFER_Cloud_Manager\EZXFER_Cloud_Manager</v>
      </c>
      <c r="C42" s="9">
        <v>8468</v>
      </c>
      <c r="D42" s="10">
        <v>42526.847777777781</v>
      </c>
    </row>
    <row r="43" spans="1:4" x14ac:dyDescent="0.25">
      <c r="A43" s="11" t="s">
        <v>95</v>
      </c>
      <c r="B43" s="11" t="str">
        <f>[1]!GetFolder(A43)</f>
        <v>C:\Users\DAVE\Documents\Visual Studio 2013\Projects\NOLANB\EZXFER_Cloud_Manager\EZXFER_Cloud_Manager\bin\Debug</v>
      </c>
      <c r="C43" s="9">
        <v>8468</v>
      </c>
      <c r="D43" s="10">
        <v>42526.847777777781</v>
      </c>
    </row>
    <row r="44" spans="1:4" x14ac:dyDescent="0.25">
      <c r="A44" s="11" t="s">
        <v>94</v>
      </c>
      <c r="B44" s="11" t="str">
        <f>[1]!GetFolder(A44)</f>
        <v>C:\Users\DAVE\Documents\Visual Studio 2013\Projects\NOLANB\EZXFER_Cloud_Manager\EZXFER_Cloud_Manager\bin\Release</v>
      </c>
      <c r="C44" s="9">
        <v>8468</v>
      </c>
      <c r="D44" s="10">
        <v>42526.847777777781</v>
      </c>
    </row>
    <row r="45" spans="1:4" x14ac:dyDescent="0.25">
      <c r="A45" s="11" t="s">
        <v>90</v>
      </c>
      <c r="B45" s="11" t="str">
        <f>[1]!GetFolder(A45)</f>
        <v>C:\Users\DAVE\Documents\Visual Studio 2013\Projects\NOLANB\ZZRdInts\ZZRdInts</v>
      </c>
      <c r="C45" s="9">
        <v>8468</v>
      </c>
      <c r="D45" s="10">
        <v>42526.847777777781</v>
      </c>
    </row>
    <row r="46" spans="1:4" x14ac:dyDescent="0.25">
      <c r="A46" s="11" t="s">
        <v>89</v>
      </c>
      <c r="B46" s="11" t="str">
        <f>[1]!GetFolder(A46)</f>
        <v>C:\Users\DAVE\Documents\Visual Studio 2013\Projects\NOLANB\ZZRdInts\ZZRdInts\bin\Debug</v>
      </c>
      <c r="C46" s="9">
        <v>8468</v>
      </c>
      <c r="D46" s="10">
        <v>42526.847777777781</v>
      </c>
    </row>
    <row r="47" spans="1:4" x14ac:dyDescent="0.25">
      <c r="A47" s="11" t="s">
        <v>88</v>
      </c>
      <c r="B47" s="11" t="str">
        <f>[1]!GetFolder(A47)</f>
        <v>C:\Users\DAVE\Documents\Visual Studio 2013\Projects\NOLANB\ZZRdInts\ZZRdInts\bin\Release</v>
      </c>
      <c r="C47" s="9">
        <v>8468</v>
      </c>
      <c r="D47" s="10">
        <v>42526.847777777781</v>
      </c>
    </row>
    <row r="48" spans="1:4" x14ac:dyDescent="0.25">
      <c r="A48" s="11" t="s">
        <v>87</v>
      </c>
      <c r="B48" s="11" t="str">
        <f>[1]!GetFolder(A48)</f>
        <v>C:\Users\DAVE\Documents\Visual Studio 2013\Projects\Tools_for_Programmers\BitView\BitView\bin\Debug</v>
      </c>
      <c r="C48" s="9">
        <v>8468</v>
      </c>
      <c r="D48" s="10">
        <v>42526.847777777781</v>
      </c>
    </row>
    <row r="49" spans="1:4" x14ac:dyDescent="0.25">
      <c r="A49" s="11" t="s">
        <v>86</v>
      </c>
      <c r="B49" s="11" t="str">
        <f>[1]!GetFolder(A49)</f>
        <v>C:\Users\DAVE\Documents\Visual Studio 2013\Projects\Tools_for_Programmers\CertStoreLister\CertStoreLister</v>
      </c>
      <c r="C49" s="9">
        <v>8468</v>
      </c>
      <c r="D49" s="10">
        <v>42526.847777777781</v>
      </c>
    </row>
    <row r="50" spans="1:4" x14ac:dyDescent="0.25">
      <c r="A50" s="11" t="s">
        <v>85</v>
      </c>
      <c r="B50" s="11" t="str">
        <f>[1]!GetFolder(A50)</f>
        <v>C:\Users\DAVE\Documents\Visual Studio 2013\Projects\Tools_for_Programmers\CertStoreLister\CertStoreLister\bin\Debug</v>
      </c>
      <c r="C50" s="9">
        <v>8468</v>
      </c>
      <c r="D50" s="10">
        <v>42526.847777777781</v>
      </c>
    </row>
    <row r="51" spans="1:4" x14ac:dyDescent="0.25">
      <c r="A51" s="11" t="s">
        <v>84</v>
      </c>
      <c r="B51" s="11" t="str">
        <f>[1]!GetFolder(A51)</f>
        <v>C:\Users\DAVE\Documents\Visual Studio 2013\Projects\Tools_for_Programmers\MemCalc\MemCalc</v>
      </c>
      <c r="C51" s="9">
        <v>8468</v>
      </c>
      <c r="D51" s="10">
        <v>42526.847777777781</v>
      </c>
    </row>
    <row r="52" spans="1:4" x14ac:dyDescent="0.25">
      <c r="A52" s="11" t="s">
        <v>83</v>
      </c>
      <c r="B52" s="11" t="str">
        <f>[1]!GetFolder(A52)</f>
        <v>C:\Users\DAVE\Documents\Visual Studio 2013\Projects\Tools_for_Programmers\MemCalc\MemCalc\bin\Debug</v>
      </c>
      <c r="C52" s="9">
        <v>8468</v>
      </c>
      <c r="D52" s="10">
        <v>42526.847777777781</v>
      </c>
    </row>
    <row r="53" spans="1:4" x14ac:dyDescent="0.25">
      <c r="A53" s="11" t="s">
        <v>82</v>
      </c>
      <c r="B53" s="11" t="str">
        <f>[1]!GetFolder(A53)</f>
        <v>C:\Users\DAVE\Documents\Visual Studio 2013\Projects\Tools_for_Programmers\MemView\MemView\bin\Debug</v>
      </c>
      <c r="C53" s="9">
        <v>8468</v>
      </c>
      <c r="D53" s="10">
        <v>42526.847777777781</v>
      </c>
    </row>
    <row r="54" spans="1:4" x14ac:dyDescent="0.25">
      <c r="A54" s="11" t="s">
        <v>81</v>
      </c>
      <c r="B54" s="11" t="str">
        <f>[1]!GetFolder(A54)</f>
        <v>C:\Users\DAVE\Documents\Visual Studio 2013\Projects\Tools_for_Programmers\PolyCat\NOTES</v>
      </c>
      <c r="C54" s="9">
        <v>8468</v>
      </c>
      <c r="D54" s="10">
        <v>42526.847777777781</v>
      </c>
    </row>
    <row r="55" spans="1:4" x14ac:dyDescent="0.25">
      <c r="A55" s="11" t="s">
        <v>80</v>
      </c>
      <c r="B55" s="11" t="str">
        <f>[1]!GetFolder(A55)</f>
        <v>C:\Users\DAVE\Documents\Visual Studio 2013\Projects\Tools_for_Programmers\PolyCat\PolyCat</v>
      </c>
      <c r="C55" s="9">
        <v>8468</v>
      </c>
      <c r="D55" s="10">
        <v>42526.847777777781</v>
      </c>
    </row>
    <row r="56" spans="1:4" x14ac:dyDescent="0.25">
      <c r="A56" s="11" t="s">
        <v>79</v>
      </c>
      <c r="B56" s="11" t="str">
        <f>[1]!GetFolder(A56)</f>
        <v>C:\Users\DAVE\Documents\Visual Studio 2013\Projects\Tools_for_Programmers\PolyCat\PolyCat\bin\Debug</v>
      </c>
      <c r="C56" s="9">
        <v>8468</v>
      </c>
      <c r="D56" s="10">
        <v>42526.847777777781</v>
      </c>
    </row>
    <row r="57" spans="1:4" x14ac:dyDescent="0.25">
      <c r="A57" s="11" t="s">
        <v>78</v>
      </c>
      <c r="B57" s="11" t="str">
        <f>[1]!GetFolder(A57)</f>
        <v>C:\Users\DAVE\Documents\Visual Studio 2013\Projects\Tools_for_Programmers\PolyCat\PolyCat\bin\Release</v>
      </c>
      <c r="C57" s="9">
        <v>8468</v>
      </c>
      <c r="D57" s="10">
        <v>42526.847777777781</v>
      </c>
    </row>
    <row r="58" spans="1:4" x14ac:dyDescent="0.25">
      <c r="A58" s="11" t="s">
        <v>77</v>
      </c>
      <c r="B58" s="11" t="str">
        <f>[1]!GetFolder(A58)</f>
        <v>C:\Users\DAVE\Documents\Visual Studio 2013\Projects\Tools_for_Programmers\RGUNC_Tag_Browser\CreateAlternativesTable\bin\Debug</v>
      </c>
      <c r="C58" s="9">
        <v>8468</v>
      </c>
      <c r="D58" s="10">
        <v>42526.847777777781</v>
      </c>
    </row>
    <row r="59" spans="1:4" x14ac:dyDescent="0.25">
      <c r="A59" s="11" t="s">
        <v>42</v>
      </c>
      <c r="B59" s="11" t="str">
        <f>[1]!GetFolder(A59)</f>
        <v>C:\Users\DAVE\Documents\Visual Studio 2013\Projects\WizardWrx_Libs\_Deprecated_Libraries\ApplicationHelpers2</v>
      </c>
      <c r="C59" s="9">
        <v>8468</v>
      </c>
      <c r="D59" s="10">
        <v>42526.847777777781</v>
      </c>
    </row>
    <row r="60" spans="1:4" x14ac:dyDescent="0.25">
      <c r="A60" s="11" t="s">
        <v>41</v>
      </c>
      <c r="B60" s="11" t="str">
        <f>[1]!GetFolder(A60)</f>
        <v>C:\Users\DAVE\Documents\Visual Studio 2013\Projects\WizardWrx_Libs\_Deprecated_Libraries\ApplicationHelpers2\ApplicationHelpers2\bin\Debug</v>
      </c>
      <c r="C60" s="9">
        <v>8468</v>
      </c>
      <c r="D60" s="10">
        <v>42526.847777777781</v>
      </c>
    </row>
    <row r="61" spans="1:4" x14ac:dyDescent="0.25">
      <c r="A61" s="11" t="s">
        <v>40</v>
      </c>
      <c r="B61" s="11" t="str">
        <f>[1]!GetFolder(A61)</f>
        <v>C:\Users\DAVE\Documents\Visual Studio 2013\Projects\WizardWrx_Libs\_Deprecated_Libraries\ApplicationHelpers2\ApplicationHelpers2\bin\Release</v>
      </c>
      <c r="C61" s="9">
        <v>8468</v>
      </c>
      <c r="D61" s="10">
        <v>42526.847777777781</v>
      </c>
    </row>
    <row r="62" spans="1:4" x14ac:dyDescent="0.25">
      <c r="A62" s="11" t="s">
        <v>39</v>
      </c>
      <c r="B62" s="11" t="str">
        <f>[1]!GetFolder(A62)</f>
        <v>C:\Users\DAVE\Documents\Visual Studio 2013\Projects\WizardWrx_Libs\_Deprecated_Libraries\ApplicationHelpers2\ApplicationHelpers2TestHarness\ApplicationHelpers2TestHarness</v>
      </c>
      <c r="C62" s="9">
        <v>8468</v>
      </c>
      <c r="D62" s="10">
        <v>42526.847777777781</v>
      </c>
    </row>
    <row r="63" spans="1:4" x14ac:dyDescent="0.25">
      <c r="A63" s="11" t="s">
        <v>38</v>
      </c>
      <c r="B63" s="11" t="str">
        <f>[1]!GetFolder(A63)</f>
        <v>C:\Users\DAVE\Documents\Visual Studio 2013\Projects\WizardWrx_Libs\_Deprecated_Libraries\ApplicationHelpers2\ApplicationHelpers2TestHarness\ApplicationHelpers2TestHarness\bin\Debug</v>
      </c>
      <c r="C63" s="9">
        <v>8468</v>
      </c>
      <c r="D63" s="10">
        <v>42526.847777777781</v>
      </c>
    </row>
    <row r="64" spans="1:4" x14ac:dyDescent="0.25">
      <c r="A64" s="11" t="s">
        <v>37</v>
      </c>
      <c r="B64" s="11" t="str">
        <f>[1]!GetFolder(A64)</f>
        <v>C:\Users\DAVE\Documents\Visual Studio 2013\Projects\WizardWrx_Libs\_Deprecated_Libraries\ApplicationHelpers2\ApplicationHelpers2TestHarness\ApplicationHelpers2TestHarness\bin\Release</v>
      </c>
      <c r="C64" s="9">
        <v>8468</v>
      </c>
      <c r="D64" s="10">
        <v>42526.847777777781</v>
      </c>
    </row>
    <row r="65" spans="1:4" x14ac:dyDescent="0.25">
      <c r="A65" s="11" t="s">
        <v>36</v>
      </c>
      <c r="B65" s="11" t="str">
        <f>[1]!GetFolder(A65)</f>
        <v>C:\Users\DAVE\Documents\Visual Studio 2013\Projects\WizardWrx_Libs\_Deprecated_Libraries\ApplicationHelpers3\TestStand</v>
      </c>
      <c r="C65" s="9">
        <v>8468</v>
      </c>
      <c r="D65" s="10">
        <v>42526.847777777781</v>
      </c>
    </row>
    <row r="66" spans="1:4" x14ac:dyDescent="0.25">
      <c r="A66" s="11" t="s">
        <v>35</v>
      </c>
      <c r="B66" s="11" t="str">
        <f>[1]!GetFolder(A66)</f>
        <v>C:\Users\DAVE\Documents\Visual Studio 2013\Projects\WizardWrx_Libs\_Deprecated_Libraries\ApplicationHelpers3\TestStand\bin\Debug</v>
      </c>
      <c r="C66" s="9">
        <v>8468</v>
      </c>
      <c r="D66" s="10">
        <v>42526.847777777781</v>
      </c>
    </row>
    <row r="67" spans="1:4" x14ac:dyDescent="0.25">
      <c r="A67" s="11" t="s">
        <v>34</v>
      </c>
      <c r="B67" s="11" t="str">
        <f>[1]!GetFolder(A67)</f>
        <v>C:\Users\DAVE\Documents\Visual Studio 2013\Projects\WizardWrx_Libs\_Deprecated_Libraries\ApplicationHelpers3\TestStand\bin\Release</v>
      </c>
      <c r="C67" s="9">
        <v>8468</v>
      </c>
      <c r="D67" s="10">
        <v>42526.847777777781</v>
      </c>
    </row>
    <row r="68" spans="1:4" x14ac:dyDescent="0.25">
      <c r="A68" s="11" t="s">
        <v>76</v>
      </c>
      <c r="B68" s="11" t="str">
        <f>[1]!GetFolder(A68)</f>
        <v>C:\Users\DAVE\Documents\Visual Studio 2013\Projects\WizardWrx_Libs\AnyCSV\AnyCSVTestStand</v>
      </c>
      <c r="C68" s="9">
        <v>8468</v>
      </c>
      <c r="D68" s="10">
        <v>42526.847777777781</v>
      </c>
    </row>
    <row r="69" spans="1:4" x14ac:dyDescent="0.25">
      <c r="A69" s="11" t="s">
        <v>75</v>
      </c>
      <c r="B69" s="11" t="str">
        <f>[1]!GetFolder(A69)</f>
        <v>C:\Users\DAVE\Documents\Visual Studio 2013\Projects\WizardWrx_Libs\AnyCSV\AnyCSVTestStand\bin\Debug</v>
      </c>
      <c r="C69" s="9">
        <v>8468</v>
      </c>
      <c r="D69" s="10">
        <v>42526.847777777781</v>
      </c>
    </row>
    <row r="70" spans="1:4" x14ac:dyDescent="0.25">
      <c r="A70" s="11" t="s">
        <v>74</v>
      </c>
      <c r="B70" s="11" t="str">
        <f>[1]!GetFolder(A70)</f>
        <v>C:\Users\DAVE\Documents\Visual Studio 2013\Projects\WizardWrx_Libs\AnyCSV\AnyCSVTestStand\bin\Release</v>
      </c>
      <c r="C70" s="9">
        <v>8468</v>
      </c>
      <c r="D70" s="10">
        <v>42526.847777777781</v>
      </c>
    </row>
    <row r="71" spans="1:4" x14ac:dyDescent="0.25">
      <c r="A71" s="11" t="s">
        <v>73</v>
      </c>
      <c r="B71" s="11" t="str">
        <f>[1]!GetFolder(A71)</f>
        <v>C:\Users\DAVE\Documents\Visual Studio 2013\Projects\WizardWrx_Libs\ConsoleAppAids2\ConsoleAppAids2</v>
      </c>
      <c r="C71" s="9">
        <v>8468</v>
      </c>
      <c r="D71" s="10">
        <v>42526.847777777781</v>
      </c>
    </row>
    <row r="72" spans="1:4" x14ac:dyDescent="0.25">
      <c r="A72" s="11" t="s">
        <v>72</v>
      </c>
      <c r="B72" s="11" t="str">
        <f>[1]!GetFolder(A72)</f>
        <v>C:\Users\DAVE\Documents\Visual Studio 2013\Projects\WizardWrx_Libs\ConsoleAppAids2\ConsoleAppAids2\bin\Debug</v>
      </c>
      <c r="C72" s="9">
        <v>8468</v>
      </c>
      <c r="D72" s="10">
        <v>42526.847777777781</v>
      </c>
    </row>
    <row r="73" spans="1:4" x14ac:dyDescent="0.25">
      <c r="A73" s="11" t="s">
        <v>71</v>
      </c>
      <c r="B73" s="11" t="str">
        <f>[1]!GetFolder(A73)</f>
        <v>C:\Users\DAVE\Documents\Visual Studio 2013\Projects\WizardWrx_Libs\ConsoleAppAids2\ConsoleAppAids2\bin\Release</v>
      </c>
      <c r="C73" s="9">
        <v>8468</v>
      </c>
      <c r="D73" s="10">
        <v>42526.847777777781</v>
      </c>
    </row>
    <row r="74" spans="1:4" x14ac:dyDescent="0.25">
      <c r="A74" s="11" t="s">
        <v>70</v>
      </c>
      <c r="B74" s="11" t="str">
        <f>[1]!GetFolder(A74)</f>
        <v>C:\Users\DAVE\Documents\Visual Studio 2013\Projects\WizardWrx_Libs\ConsoleAppAids2\EOJTEST</v>
      </c>
      <c r="C74" s="9">
        <v>8468</v>
      </c>
      <c r="D74" s="10">
        <v>42526.847777777781</v>
      </c>
    </row>
    <row r="75" spans="1:4" x14ac:dyDescent="0.25">
      <c r="A75" s="11" t="s">
        <v>69</v>
      </c>
      <c r="B75" s="11" t="str">
        <f>[1]!GetFolder(A75)</f>
        <v>C:\Users\DAVE\Documents\Visual Studio 2013\Projects\WizardWrx_Libs\ConsoleAppAids2\EOJTEST\bin\Debug</v>
      </c>
      <c r="C75" s="9">
        <v>8468</v>
      </c>
      <c r="D75" s="10">
        <v>42526.847777777781</v>
      </c>
    </row>
    <row r="76" spans="1:4" x14ac:dyDescent="0.25">
      <c r="A76" s="11" t="s">
        <v>68</v>
      </c>
      <c r="B76" s="11" t="str">
        <f>[1]!GetFolder(A76)</f>
        <v>C:\Users\DAVE\Documents\Visual Studio 2013\Projects\WizardWrx_Libs\ConsoleAppAids2\EOJTEST\bin\Release</v>
      </c>
      <c r="C76" s="9">
        <v>8468</v>
      </c>
      <c r="D76" s="10">
        <v>42526.847777777781</v>
      </c>
    </row>
    <row r="77" spans="1:4" x14ac:dyDescent="0.25">
      <c r="A77" s="11" t="s">
        <v>67</v>
      </c>
      <c r="B77" s="11" t="str">
        <f>[1]!GetFolder(A77)</f>
        <v>C:\Users\DAVE\Documents\Visual Studio 2013\Projects\WizardWrx_Libs\ConsoleAppAids2\TestStand</v>
      </c>
      <c r="C77" s="9">
        <v>8468</v>
      </c>
      <c r="D77" s="10">
        <v>42526.847777777781</v>
      </c>
    </row>
    <row r="78" spans="1:4" x14ac:dyDescent="0.25">
      <c r="A78" s="11" t="s">
        <v>66</v>
      </c>
      <c r="B78" s="11" t="str">
        <f>[1]!GetFolder(A78)</f>
        <v>C:\Users\DAVE\Documents\Visual Studio 2013\Projects\WizardWrx_Libs\ConsoleAppAids2\TestStand\bin\Debug</v>
      </c>
      <c r="C78" s="9">
        <v>8468</v>
      </c>
      <c r="D78" s="10">
        <v>42526.847777777781</v>
      </c>
    </row>
    <row r="79" spans="1:4" x14ac:dyDescent="0.25">
      <c r="A79" s="11" t="s">
        <v>65</v>
      </c>
      <c r="B79" s="11" t="str">
        <f>[1]!GetFolder(A79)</f>
        <v>C:\Users\DAVE\Documents\Visual Studio 2013\Projects\WizardWrx_Libs\ConsoleAppAids2\TestStand\bin\Release</v>
      </c>
      <c r="C79" s="9">
        <v>8468</v>
      </c>
      <c r="D79" s="10">
        <v>42526.847777777781</v>
      </c>
    </row>
    <row r="80" spans="1:4" x14ac:dyDescent="0.25">
      <c r="A80" s="11" t="s">
        <v>64</v>
      </c>
      <c r="B80" s="11" t="str">
        <f>[1]!GetFolder(A80)</f>
        <v>C:\Users\DAVE\Documents\Visual Studio 2013\Projects\WizardWrx_Libs\DLLServices2\DLLServices2</v>
      </c>
      <c r="C80" s="9">
        <v>8468</v>
      </c>
      <c r="D80" s="10">
        <v>42526.847777777781</v>
      </c>
    </row>
    <row r="81" spans="1:4" x14ac:dyDescent="0.25">
      <c r="A81" s="11" t="s">
        <v>63</v>
      </c>
      <c r="B81" s="11" t="str">
        <f>[1]!GetFolder(A81)</f>
        <v>C:\Users\DAVE\Documents\Visual Studio 2013\Projects\WizardWrx_Libs\DLLServices2\DLLServices2\bin\Debug</v>
      </c>
      <c r="C81" s="9">
        <v>8468</v>
      </c>
      <c r="D81" s="10">
        <v>42526.847777777781</v>
      </c>
    </row>
    <row r="82" spans="1:4" x14ac:dyDescent="0.25">
      <c r="A82" s="11" t="s">
        <v>62</v>
      </c>
      <c r="B82" s="11" t="str">
        <f>[1]!GetFolder(A82)</f>
        <v>C:\Users\DAVE\Documents\Visual Studio 2013\Projects\WizardWrx_Libs\DLLServices2\DLLServices2\bin\Release</v>
      </c>
      <c r="C82" s="9">
        <v>8468</v>
      </c>
      <c r="D82" s="10">
        <v>42526.847777777781</v>
      </c>
    </row>
    <row r="83" spans="1:4" x14ac:dyDescent="0.25">
      <c r="A83" s="11" t="s">
        <v>61</v>
      </c>
      <c r="B83" s="11" t="str">
        <f>[1]!GetFolder(A83)</f>
        <v>C:\Users\DAVE\Documents\Visual Studio 2013\Projects\WizardWrx_Libs\DLLServices2\DLLServices2\obj\Debug</v>
      </c>
      <c r="C83" s="9">
        <v>8468</v>
      </c>
      <c r="D83" s="10">
        <v>42526.847777777781</v>
      </c>
    </row>
    <row r="84" spans="1:4" x14ac:dyDescent="0.25">
      <c r="A84" s="11" t="s">
        <v>60</v>
      </c>
      <c r="B84" s="11" t="str">
        <f>[1]!GetFolder(A84)</f>
        <v>C:\Users\DAVE\Documents\Visual Studio 2013\Projects\WizardWrx_Libs\DLLServices2\DLLServices2\obj\Release</v>
      </c>
      <c r="C84" s="9">
        <v>8468</v>
      </c>
      <c r="D84" s="10">
        <v>42526.847777777781</v>
      </c>
    </row>
    <row r="85" spans="1:4" x14ac:dyDescent="0.25">
      <c r="A85" s="11" t="s">
        <v>59</v>
      </c>
      <c r="B85" s="11" t="str">
        <f>[1]!GetFolder(A85)</f>
        <v>C:\Users\DAVE\Documents\Visual Studio 2013\Projects\WizardWrx_Libs\DLLServices2\DLLServices2TestStand\bin\Debug</v>
      </c>
      <c r="C85" s="9">
        <v>8468</v>
      </c>
      <c r="D85" s="10">
        <v>42526.847777777781</v>
      </c>
    </row>
    <row r="86" spans="1:4" x14ac:dyDescent="0.25">
      <c r="A86" s="11" t="s">
        <v>58</v>
      </c>
      <c r="B86" s="11" t="str">
        <f>[1]!GetFolder(A86)</f>
        <v>C:\Users\DAVE\Documents\Visual Studio 2013\Projects\WizardWrx_Libs\DLLServices2\DLLServices2TestStand\bin\Release</v>
      </c>
      <c r="C86" s="9">
        <v>8468</v>
      </c>
      <c r="D86" s="10">
        <v>42526.847777777781</v>
      </c>
    </row>
    <row r="87" spans="1:4" x14ac:dyDescent="0.25">
      <c r="A87" s="11" t="s">
        <v>57</v>
      </c>
      <c r="B87" s="11" t="str">
        <f>[1]!GetFolder(A87)</f>
        <v>C:\Users\DAVE\Documents\Visual Studio 2013\Projects\WizardWrx_Libs\DLLServices2\RedirectedStreamTester\bin\Debug</v>
      </c>
      <c r="C87" s="9">
        <v>8468</v>
      </c>
      <c r="D87" s="10">
        <v>42526.847777777781</v>
      </c>
    </row>
    <row r="88" spans="1:4" x14ac:dyDescent="0.25">
      <c r="A88" s="11" t="s">
        <v>56</v>
      </c>
      <c r="B88" s="11" t="str">
        <f>[1]!GetFolder(A88)</f>
        <v>C:\Users\DAVE\Documents\Visual Studio 2013\Projects\WizardWrx_Libs\DLLServices2\RedirectedStreamTester\bin\Release</v>
      </c>
      <c r="C88" s="9">
        <v>8468</v>
      </c>
      <c r="D88" s="10">
        <v>42526.847777777781</v>
      </c>
    </row>
    <row r="89" spans="1:4" x14ac:dyDescent="0.25">
      <c r="A89" s="11" t="s">
        <v>55</v>
      </c>
      <c r="B89" s="11" t="str">
        <f>[1]!GetFolder(A89)</f>
        <v>C:\Users\DAVE\Documents\Visual Studio 2013\Projects\WizardWrx_Libs\MailForAllApps\MailForAllApps\bin\Debug</v>
      </c>
      <c r="C89" s="9">
        <v>8468</v>
      </c>
      <c r="D89" s="10">
        <v>42526.847777777781</v>
      </c>
    </row>
    <row r="90" spans="1:4" x14ac:dyDescent="0.25">
      <c r="A90" s="11" t="s">
        <v>54</v>
      </c>
      <c r="B90" s="11" t="str">
        <f>[1]!GetFolder(A90)</f>
        <v>C:\Users\DAVE\Documents\Visual Studio 2013\Projects\WizardWrx_Libs\MailForAllApps\MailForAllApps\bin\Release</v>
      </c>
      <c r="C90" s="9">
        <v>8468</v>
      </c>
      <c r="D90" s="10">
        <v>42526.847777777781</v>
      </c>
    </row>
    <row r="91" spans="1:4" x14ac:dyDescent="0.25">
      <c r="A91" s="11" t="s">
        <v>53</v>
      </c>
      <c r="B91" s="11" t="str">
        <f>[1]!GetFolder(A91)</f>
        <v>C:\Users\DAVE\Documents\Visual Studio 2013\Projects\WizardWrx_Libs\MailForAllApps\TestStand</v>
      </c>
      <c r="C91" s="9">
        <v>8468</v>
      </c>
      <c r="D91" s="10">
        <v>42526.847777777781</v>
      </c>
    </row>
    <row r="92" spans="1:4" x14ac:dyDescent="0.25">
      <c r="A92" s="11" t="s">
        <v>52</v>
      </c>
      <c r="B92" s="11" t="str">
        <f>[1]!GetFolder(A92)</f>
        <v>C:\Users\DAVE\Documents\Visual Studio 2013\Projects\WizardWrx_Libs\MailForAllApps\TestStand\bin\Debug</v>
      </c>
      <c r="C92" s="9">
        <v>8468</v>
      </c>
      <c r="D92" s="10">
        <v>42526.847777777781</v>
      </c>
    </row>
    <row r="93" spans="1:4" x14ac:dyDescent="0.25">
      <c r="A93" s="11" t="s">
        <v>51</v>
      </c>
      <c r="B93" s="11" t="str">
        <f>[1]!GetFolder(A93)</f>
        <v>C:\Users\DAVE\Documents\Visual Studio 2013\Projects\WizardWrx_Libs\MailForAllApps\TestStand\bin\Release</v>
      </c>
      <c r="C93" s="9">
        <v>8468</v>
      </c>
      <c r="D93" s="10">
        <v>42526.847777777781</v>
      </c>
    </row>
    <row r="94" spans="1:4" x14ac:dyDescent="0.25">
      <c r="A94" s="11" t="s">
        <v>50</v>
      </c>
      <c r="B94" s="11" t="str">
        <f>[1]!GetFolder(A94)</f>
        <v>C:\Users\DAVE\Documents\Visual Studio 2013\Projects\WizardWrx_Libs\SharedUtl4\FormatStringEngine\bin\Debug</v>
      </c>
      <c r="C94" s="9">
        <v>8468</v>
      </c>
      <c r="D94" s="10">
        <v>42526.847777777781</v>
      </c>
    </row>
    <row r="95" spans="1:4" x14ac:dyDescent="0.25">
      <c r="A95" s="11" t="s">
        <v>49</v>
      </c>
      <c r="B95" s="11" t="str">
        <f>[1]!GetFolder(A95)</f>
        <v>C:\Users\DAVE\Documents\Visual Studio 2013\Projects\WizardWrx_Libs\SharedUtl4\SharedUtl4\bin\Debug</v>
      </c>
      <c r="C95" s="9">
        <v>8468</v>
      </c>
      <c r="D95" s="10">
        <v>42526.847777777781</v>
      </c>
    </row>
    <row r="96" spans="1:4" x14ac:dyDescent="0.25">
      <c r="A96" s="11" t="s">
        <v>48</v>
      </c>
      <c r="B96" s="11" t="str">
        <f>[1]!GetFolder(A96)</f>
        <v>C:\Users\DAVE\Documents\Visual Studio 2013\Projects\WizardWrx_Libs\SharedUtl4\SharedUtl4\bin\Release</v>
      </c>
      <c r="C96" s="9">
        <v>8468</v>
      </c>
      <c r="D96" s="10">
        <v>42526.847777777781</v>
      </c>
    </row>
    <row r="97" spans="1:4" x14ac:dyDescent="0.25">
      <c r="A97" s="11" t="s">
        <v>47</v>
      </c>
      <c r="B97" s="11" t="str">
        <f>[1]!GetFolder(A97)</f>
        <v>C:\Users\DAVE\Documents\Visual Studio 2013\Projects\WizardWrx_Libs\SharedUtl4\SharedUtl4_TestStand</v>
      </c>
      <c r="C97" s="9">
        <v>8468</v>
      </c>
      <c r="D97" s="10">
        <v>42526.847777777781</v>
      </c>
    </row>
    <row r="98" spans="1:4" x14ac:dyDescent="0.25">
      <c r="A98" s="11" t="s">
        <v>46</v>
      </c>
      <c r="B98" s="11" t="str">
        <f>[1]!GetFolder(A98)</f>
        <v>C:\Users\DAVE\Documents\Visual Studio 2013\Projects\WizardWrx_Libs\SharedUtl4\SharedUtl4_TestStand\bin\Debug</v>
      </c>
      <c r="C98" s="9">
        <v>8468</v>
      </c>
      <c r="D98" s="10">
        <v>42526.847777777781</v>
      </c>
    </row>
    <row r="99" spans="1:4" x14ac:dyDescent="0.25">
      <c r="A99" s="11" t="s">
        <v>45</v>
      </c>
      <c r="B99" s="11" t="str">
        <f>[1]!GetFolder(A99)</f>
        <v>C:\Users\DAVE\Documents\Visual Studio 2013\Projects\WizardWrx_Libs\SharedUtl4\SharedUtl4_TestStand\bin\Release</v>
      </c>
      <c r="C99" s="9">
        <v>8468</v>
      </c>
      <c r="D99" s="10">
        <v>42526.847777777781</v>
      </c>
    </row>
    <row r="100" spans="1:4" x14ac:dyDescent="0.25">
      <c r="A100" s="11" t="s">
        <v>44</v>
      </c>
      <c r="B100" s="11" t="str">
        <f>[1]!GetFolder(A100)</f>
        <v>C:\Users\DAVE\Documents\Visual Studio 2013\Projects\WizardWrx_Libs\WinFormsHelpers\WinFormsHelpers\bin\Debug</v>
      </c>
      <c r="C100" s="9">
        <v>8468</v>
      </c>
      <c r="D100" s="10">
        <v>42526.847777777781</v>
      </c>
    </row>
    <row r="101" spans="1:4" x14ac:dyDescent="0.25">
      <c r="A101" s="11" t="s">
        <v>43</v>
      </c>
      <c r="B101" s="11" t="str">
        <f>[1]!GetFolder(A101)</f>
        <v>C:\Users\DAVE\Documents\Visual Studio 2013\Projects\WizardWrx_Libs\WinFormsHelpers\WinFormsHelpers\bin\Release</v>
      </c>
      <c r="C101" s="9">
        <v>8468</v>
      </c>
      <c r="D101" s="10">
        <v>42526.847777777781</v>
      </c>
    </row>
    <row r="102" spans="1:4" x14ac:dyDescent="0.25">
      <c r="A102" s="11" t="s">
        <v>101</v>
      </c>
      <c r="B102" s="11" t="str">
        <f>[1]!GetFolder(A102)</f>
        <v>C:\Users\DAVE\Documents\Visual Studio 2013\Projects\NOLANB\EZPayFileMonitor\EZPayFileMonitor</v>
      </c>
      <c r="C102" s="9">
        <v>2976</v>
      </c>
      <c r="D102" s="10">
        <v>41891.714513888888</v>
      </c>
    </row>
    <row r="103" spans="1:4" x14ac:dyDescent="0.25">
      <c r="A103" s="11" t="s">
        <v>25</v>
      </c>
      <c r="B103" s="11" t="str">
        <f>[1]!GetFolder(A103)</f>
        <v>C:\Users\Public\Documents\H_DEASE\AI_PKG_400</v>
      </c>
      <c r="C103" s="9">
        <v>2976</v>
      </c>
      <c r="D103" s="10">
        <v>41891.714513888888</v>
      </c>
    </row>
    <row r="104" spans="1:4" x14ac:dyDescent="0.25">
      <c r="A104" s="11" t="s">
        <v>24</v>
      </c>
      <c r="B104" s="11" t="str">
        <f>[1]!GetFolder(A104)</f>
        <v>C:\Users\Public\Documents\H_DEASE\UTIL_from_ZAPHOD42</v>
      </c>
      <c r="C104" s="9">
        <v>2976</v>
      </c>
      <c r="D104" s="10">
        <v>41891.714513888888</v>
      </c>
    </row>
    <row r="105" spans="1:4" x14ac:dyDescent="0.25">
      <c r="A105" s="11" t="s">
        <v>20</v>
      </c>
      <c r="B105" s="11" t="str">
        <f>[1]!GetFolder(A105)</f>
        <v>C:\Users\Public\Documents\NOLANB\_Installation_Packages\Remote\2014\20141010\AI_PKG_400</v>
      </c>
      <c r="C105" s="9">
        <v>2976</v>
      </c>
      <c r="D105" s="10">
        <v>41891.714513888888</v>
      </c>
    </row>
    <row r="106" spans="1:4" x14ac:dyDescent="0.25">
      <c r="A106" s="11" t="s">
        <v>19</v>
      </c>
      <c r="B106" s="11" t="str">
        <f>[1]!GetFolder(A106)</f>
        <v>C:\Users\Public\Documents\NOLANB\_Installation_Packages\UTIL_Reference</v>
      </c>
      <c r="C106" s="9">
        <v>2976</v>
      </c>
      <c r="D106" s="10">
        <v>41891.714513888888</v>
      </c>
    </row>
    <row r="107" spans="1:4" x14ac:dyDescent="0.25">
      <c r="A107" s="11" t="s">
        <v>18</v>
      </c>
      <c r="B107" s="11" t="str">
        <f>[1]!GetFolder(A107)</f>
        <v>C:\UTIL</v>
      </c>
      <c r="C107" s="9">
        <v>2976</v>
      </c>
      <c r="D107" s="10">
        <v>41891.714490740742</v>
      </c>
    </row>
    <row r="108" spans="1:4" x14ac:dyDescent="0.25">
      <c r="A108" s="11" t="s">
        <v>22</v>
      </c>
      <c r="B108" s="11" t="str">
        <f>[1]!GetFolder(A108)</f>
        <v>C:\Users\Public\Documents\NOLANB\TASKS\_EMV_Credit_Card_Processing\_Deliverables_Prep\UTIL_ZAPHOD42_20160309_085628</v>
      </c>
      <c r="C108" s="9">
        <v>2976</v>
      </c>
      <c r="D108" s="10">
        <v>41891.672847222224</v>
      </c>
    </row>
    <row r="109" spans="1:4" x14ac:dyDescent="0.25">
      <c r="A109" s="11" t="s">
        <v>21</v>
      </c>
      <c r="B109" s="11" t="str">
        <f>[1]!GetFolder(A109)</f>
        <v>C:\Users\Public\Documents\NOLANB\TASKS\_PTI_Gate_2016\UTIL_Rock_Hill</v>
      </c>
      <c r="C109" s="9">
        <v>2976</v>
      </c>
      <c r="D109" s="10">
        <v>41891.672847222224</v>
      </c>
    </row>
    <row r="110" spans="1:4" x14ac:dyDescent="0.25">
      <c r="A110" s="11" t="s">
        <v>136</v>
      </c>
      <c r="B110" s="11" t="str">
        <f>[1]!GetFolder(A110)</f>
        <v>C:\Users\DAVE\Documents\Articles_2015\Console_Output_Magic\Console_Color_Writer\TestStand</v>
      </c>
      <c r="C110" s="9">
        <v>2976</v>
      </c>
      <c r="D110" s="10">
        <v>41840.902037037034</v>
      </c>
    </row>
    <row r="111" spans="1:4" x14ac:dyDescent="0.25">
      <c r="A111" s="11" t="s">
        <v>93</v>
      </c>
      <c r="B111" s="11" t="str">
        <f>[1]!GetFolder(A111)</f>
        <v>C:\Users\DAVE\Documents\Visual Studio 2013\Projects\NOLANB\LogBasePruner\LogBasePruner</v>
      </c>
      <c r="C111" s="9">
        <v>2976</v>
      </c>
      <c r="D111" s="10">
        <v>41832.649212962962</v>
      </c>
    </row>
    <row r="112" spans="1:4" x14ac:dyDescent="0.25">
      <c r="A112" s="11" t="s">
        <v>92</v>
      </c>
      <c r="B112" s="11" t="str">
        <f>[1]!GetFolder(A112)</f>
        <v>C:\Users\DAVE\Documents\Visual Studio 2013\Projects\NOLANB\LogBasePruner\LogBasePruner\bin\Debug</v>
      </c>
      <c r="C112" s="9">
        <v>2976</v>
      </c>
      <c r="D112" s="10">
        <v>41832.649212962962</v>
      </c>
    </row>
    <row r="113" spans="1:4" x14ac:dyDescent="0.25">
      <c r="A113" s="11" t="s">
        <v>91</v>
      </c>
      <c r="B113" s="11" t="str">
        <f>[1]!GetFolder(A113)</f>
        <v>C:\Users\DAVE\Documents\Visual Studio 2013\Projects\NOLANB\LogBasePruner\LogBasePruner\bin\Release</v>
      </c>
      <c r="C113" s="9">
        <v>2976</v>
      </c>
      <c r="D113" s="10">
        <v>41832.649212962962</v>
      </c>
    </row>
    <row r="114" spans="1:4" x14ac:dyDescent="0.25">
      <c r="A114" s="11" t="s">
        <v>23</v>
      </c>
      <c r="B114" s="11" t="str">
        <f>[1]!GetFolder(A114)</f>
        <v>C:\Users\Public\Documents\NOLANB\TASKS\Corrupted_HO_Logbase\distribution</v>
      </c>
      <c r="C114" s="9">
        <v>2976</v>
      </c>
      <c r="D114" s="10">
        <v>41832.649212962962</v>
      </c>
    </row>
    <row r="115" spans="1:4" x14ac:dyDescent="0.25">
      <c r="A115" s="11" t="s">
        <v>139</v>
      </c>
      <c r="B115" s="11" t="str">
        <f>[1]!GetFolder(A115)</f>
        <v>C:\Users\DAVE\Documents\Articles_2015\Console_Output_Magic\Console_Color_Writer\ConsoleAppAids2</v>
      </c>
      <c r="C115" s="9">
        <v>2976</v>
      </c>
      <c r="D115" s="10">
        <v>41813.462777777779</v>
      </c>
    </row>
    <row r="116" spans="1:4" x14ac:dyDescent="0.25">
      <c r="A116" s="11" t="s">
        <v>138</v>
      </c>
      <c r="B116" s="11" t="str">
        <f>[1]!GetFolder(A116)</f>
        <v>C:\Users\DAVE\Documents\Articles_2015\Console_Output_Magic\Console_Color_Writer\ConsoleAppAids2\bin\Debug</v>
      </c>
      <c r="C116" s="9">
        <v>2976</v>
      </c>
      <c r="D116" s="10">
        <v>41813.462777777779</v>
      </c>
    </row>
    <row r="117" spans="1:4" x14ac:dyDescent="0.25">
      <c r="A117" s="11" t="s">
        <v>137</v>
      </c>
      <c r="B117" s="11" t="str">
        <f>[1]!GetFolder(A117)</f>
        <v>C:\Users\DAVE\Documents\Articles_2015\Console_Output_Magic\Console_Color_Writer\ConsoleAppAids2\bin\Release</v>
      </c>
      <c r="C117" s="9">
        <v>2976</v>
      </c>
      <c r="D117" s="10">
        <v>41813.462777777779</v>
      </c>
    </row>
    <row r="118" spans="1:4" x14ac:dyDescent="0.25">
      <c r="A118" s="11" t="s">
        <v>135</v>
      </c>
      <c r="B118" s="11" t="str">
        <f>[1]!GetFolder(A118)</f>
        <v>C:\Users\DAVE\Documents\Articles_2015\Console_Output_Magic\Console_Color_Writer\TestStand\bin\Debug</v>
      </c>
      <c r="C118" s="9">
        <v>2976</v>
      </c>
      <c r="D118" s="10">
        <v>41813.462777777779</v>
      </c>
    </row>
    <row r="119" spans="1:4" x14ac:dyDescent="0.25">
      <c r="A119" s="11" t="s">
        <v>134</v>
      </c>
      <c r="B119" s="11" t="str">
        <f>[1]!GetFolder(A119)</f>
        <v>C:\Users\DAVE\Documents\Articles_2015\Console_Output_Magic\Console_Color_Writer\TestStand\bin\Release</v>
      </c>
      <c r="C119" s="9">
        <v>2976</v>
      </c>
      <c r="D119" s="10">
        <v>41813.462777777779</v>
      </c>
    </row>
    <row r="120" spans="1:4" x14ac:dyDescent="0.25">
      <c r="A120" s="11" t="s">
        <v>133</v>
      </c>
      <c r="B120" s="11" t="str">
        <f>[1]!GetFolder(A120)</f>
        <v>C:\Users\DAVE\Documents\Articles_2015\Console_Output_Magic\DLLServices2\DLLServices2</v>
      </c>
      <c r="C120" s="9">
        <v>2976</v>
      </c>
      <c r="D120" s="10">
        <v>41812.710462962961</v>
      </c>
    </row>
    <row r="121" spans="1:4" x14ac:dyDescent="0.25">
      <c r="A121" s="11" t="s">
        <v>132</v>
      </c>
      <c r="B121" s="11" t="str">
        <f>[1]!GetFolder(A121)</f>
        <v>C:\Users\DAVE\Documents\Articles_2015\Console_Output_Magic\DLLServices2\DLLServices2\bin\Debug</v>
      </c>
      <c r="C121" s="9">
        <v>2976</v>
      </c>
      <c r="D121" s="10">
        <v>41812.710462962961</v>
      </c>
    </row>
    <row r="122" spans="1:4" x14ac:dyDescent="0.25">
      <c r="A122" s="11" t="s">
        <v>131</v>
      </c>
      <c r="B122" s="11" t="str">
        <f>[1]!GetFolder(A122)</f>
        <v>C:\Users\DAVE\Documents\Articles_2015\Console_Output_Magic\DLLServices2\DLLServices2\bin\Release</v>
      </c>
      <c r="C122" s="9">
        <v>2976</v>
      </c>
      <c r="D122" s="10">
        <v>41812.710462962961</v>
      </c>
    </row>
    <row r="123" spans="1:4" x14ac:dyDescent="0.25">
      <c r="A123" s="11" t="s">
        <v>130</v>
      </c>
      <c r="B123" s="11" t="str">
        <f>[1]!GetFolder(A123)</f>
        <v>C:\Users\DAVE\Documents\Articles_2015\Console_Output_Magic\DLLServices2\DLLServices2TestStand\bin\Debug</v>
      </c>
      <c r="C123" s="9">
        <v>2976</v>
      </c>
      <c r="D123" s="10">
        <v>41812.710462962961</v>
      </c>
    </row>
    <row r="124" spans="1:4" x14ac:dyDescent="0.25">
      <c r="A124" s="11" t="s">
        <v>129</v>
      </c>
      <c r="B124" s="11" t="str">
        <f>[1]!GetFolder(A124)</f>
        <v>C:\Users\DAVE\Documents\Articles_2015\Console_Output_Magic\DLLServices2\DLLServices2TestStand\bin\Release</v>
      </c>
      <c r="C124" s="9">
        <v>2976</v>
      </c>
      <c r="D124" s="10">
        <v>41812.710462962961</v>
      </c>
    </row>
  </sheetData>
  <sortState ref="A2:D124">
    <sortCondition descending="1" ref="D2:D124"/>
    <sortCondition ref="B2:B124"/>
  </sortState>
  <conditionalFormatting sqref="A2:D2">
    <cfRule type="expression" dxfId="3" priority="2">
      <formula>$D2=Newest_DllServices_Config</formula>
    </cfRule>
  </conditionalFormatting>
  <conditionalFormatting sqref="A3:D124">
    <cfRule type="expression" dxfId="2" priority="1">
      <formula>$D3=Newest_DllServices_Config</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4"/>
  <sheetViews>
    <sheetView workbookViewId="0"/>
  </sheetViews>
  <sheetFormatPr defaultRowHeight="15" x14ac:dyDescent="0.25"/>
  <cols>
    <col min="1" max="1" width="152.125" bestFit="1" customWidth="1"/>
    <col min="3" max="3" width="49" bestFit="1" customWidth="1"/>
  </cols>
  <sheetData>
    <row r="1" spans="1:7" x14ac:dyDescent="0.25">
      <c r="A1" t="s">
        <v>145</v>
      </c>
      <c r="B1" t="s">
        <v>146</v>
      </c>
      <c r="C1" t="s">
        <v>392</v>
      </c>
      <c r="D1" t="s">
        <v>144</v>
      </c>
      <c r="E1" t="s">
        <v>143</v>
      </c>
      <c r="F1" t="s">
        <v>142</v>
      </c>
      <c r="G1" t="s">
        <v>141</v>
      </c>
    </row>
    <row r="2" spans="1:7" x14ac:dyDescent="0.25">
      <c r="A2" t="s">
        <v>391</v>
      </c>
      <c r="B2" t="str">
        <f>[1]!GetFolder(A2)</f>
        <v>C:\bin</v>
      </c>
      <c r="C2" t="str">
        <f>[1]!GetFile(A2)</f>
        <v>Clear_Recycle_Bin_of_Items_Over_X_Days_Old.VBS</v>
      </c>
      <c r="D2">
        <v>10413</v>
      </c>
      <c r="E2" s="6">
        <v>42623.768854166665</v>
      </c>
      <c r="F2" s="6">
        <v>41991.935949074075</v>
      </c>
      <c r="G2" s="6">
        <v>41382.424375000002</v>
      </c>
    </row>
    <row r="3" spans="1:7" x14ac:dyDescent="0.25">
      <c r="A3" t="s">
        <v>390</v>
      </c>
      <c r="B3" t="str">
        <f>[1]!GetFolder(A3)</f>
        <v>C:\bin</v>
      </c>
      <c r="C3" t="str">
        <f>[1]!GetFile(A3)</f>
        <v>MakeShortcut.VBS</v>
      </c>
      <c r="D3">
        <v>50086</v>
      </c>
      <c r="E3" s="6">
        <v>42624.684641203705</v>
      </c>
      <c r="F3" s="6">
        <v>42624.684641203705</v>
      </c>
      <c r="G3" s="6">
        <v>42269.003518518519</v>
      </c>
    </row>
    <row r="4" spans="1:7" x14ac:dyDescent="0.25">
      <c r="A4" t="s">
        <v>389</v>
      </c>
      <c r="B4" t="str">
        <f>[1]!GetFolder(A4)</f>
        <v>C:\bin</v>
      </c>
      <c r="C4" t="str">
        <f>[1]!GetFile(A4)</f>
        <v>ParseTaggedArgs.VBS</v>
      </c>
      <c r="D4">
        <v>23067</v>
      </c>
      <c r="E4" s="6">
        <v>42623.768842592595</v>
      </c>
      <c r="F4" s="6">
        <v>40105.869143518517</v>
      </c>
      <c r="G4" s="6">
        <v>41883.57472222222</v>
      </c>
    </row>
    <row r="5" spans="1:7" x14ac:dyDescent="0.25">
      <c r="A5" t="s">
        <v>388</v>
      </c>
      <c r="B5" t="str">
        <f>[1]!GetFolder(A5)</f>
        <v>C:\bin\Perl\eg\Windows Script Components</v>
      </c>
      <c r="C5" t="str">
        <f>[1]!GetFile(A5)</f>
        <v>test.vbs</v>
      </c>
      <c r="D5">
        <v>284</v>
      </c>
      <c r="E5" s="6">
        <v>42535.013888888891</v>
      </c>
      <c r="F5" s="6">
        <v>36748.784328703703</v>
      </c>
      <c r="G5" s="6">
        <v>36748.784328703703</v>
      </c>
    </row>
    <row r="6" spans="1:7" x14ac:dyDescent="0.25">
      <c r="A6" t="s">
        <v>387</v>
      </c>
      <c r="B6" t="str">
        <f>[1]!GetFolder(A6)</f>
        <v>C:\OEM\ABB</v>
      </c>
      <c r="C6" t="str">
        <f>[1]!GetFile(A6)</f>
        <v>InstallAmazon_shortcut.vbs</v>
      </c>
      <c r="D6">
        <v>2654</v>
      </c>
      <c r="E6" s="6">
        <v>42377.942291666666</v>
      </c>
      <c r="F6" s="6">
        <v>40968.122314814813</v>
      </c>
      <c r="G6" s="6">
        <v>41009.278009259258</v>
      </c>
    </row>
    <row r="7" spans="1:7" x14ac:dyDescent="0.25">
      <c r="A7" t="s">
        <v>386</v>
      </c>
      <c r="B7" t="str">
        <f>[1]!GetFolder(A7)</f>
        <v>C:\OEM\Preload\Autorun\APP\AUPEO</v>
      </c>
      <c r="C7" t="str">
        <f>[1]!GetFile(A7)</f>
        <v>MakeLinkAupeo.vbs</v>
      </c>
      <c r="D7">
        <v>708</v>
      </c>
      <c r="E7" s="6">
        <v>42377.942615740743</v>
      </c>
      <c r="F7" s="6">
        <v>40398.963333333333</v>
      </c>
      <c r="G7" s="6">
        <v>40496.964849537035</v>
      </c>
    </row>
    <row r="8" spans="1:7" x14ac:dyDescent="0.25">
      <c r="A8" t="s">
        <v>385</v>
      </c>
      <c r="B8" t="str">
        <f>[1]!GetFolder(A8)</f>
        <v>C:\OEM\Preload\Autorun\APP\Netflix Shortcut</v>
      </c>
      <c r="C8" t="str">
        <f>[1]!GetFile(A8)</f>
        <v>InstallNetflixA.vbs</v>
      </c>
      <c r="D8">
        <v>3676</v>
      </c>
      <c r="E8" s="6">
        <v>42377.9450462963</v>
      </c>
      <c r="F8" s="6">
        <v>40944.8437037037</v>
      </c>
      <c r="G8" s="6">
        <v>41009.278692129628</v>
      </c>
    </row>
    <row r="9" spans="1:7" x14ac:dyDescent="0.25">
      <c r="A9" t="s">
        <v>384</v>
      </c>
      <c r="B9" t="str">
        <f>[1]!GetFolder(A9)</f>
        <v>C:\OEM\Preload\Autorun\APP\Netflix Shortcut</v>
      </c>
      <c r="C9" t="str">
        <f>[1]!GetFile(A9)</f>
        <v>InstallNetflixE.vbs</v>
      </c>
      <c r="D9">
        <v>3681</v>
      </c>
      <c r="E9" s="6">
        <v>42377.9450462963</v>
      </c>
      <c r="F9" s="6">
        <v>40944.843958333331</v>
      </c>
      <c r="G9" s="6">
        <v>41009.278692129628</v>
      </c>
    </row>
    <row r="10" spans="1:7" x14ac:dyDescent="0.25">
      <c r="A10" t="s">
        <v>383</v>
      </c>
      <c r="B10" t="str">
        <f>[1]!GetFolder(A10)</f>
        <v>C:\OEM\Preload\Autorun\APP\Netflix Shortcut</v>
      </c>
      <c r="C10" t="str">
        <f>[1]!GetFile(A10)</f>
        <v>InstallNetflixG.vbs</v>
      </c>
      <c r="D10">
        <v>3680</v>
      </c>
      <c r="E10" s="6">
        <v>42377.9450462963</v>
      </c>
      <c r="F10" s="6">
        <v>40944.843564814815</v>
      </c>
      <c r="G10" s="6">
        <v>41009.278692129628</v>
      </c>
    </row>
    <row r="11" spans="1:7" x14ac:dyDescent="0.25">
      <c r="A11" t="s">
        <v>382</v>
      </c>
      <c r="B11" t="str">
        <f>[1]!GetFolder(A11)</f>
        <v>C:\OEM\Preload\Autorun\APP\Netflix Shortcut</v>
      </c>
      <c r="C11" t="str">
        <f>[1]!GetFile(A11)</f>
        <v>InstallNetflixP.vbs</v>
      </c>
      <c r="D11">
        <v>2048</v>
      </c>
      <c r="E11" s="6">
        <v>42377.9450462963</v>
      </c>
      <c r="F11" s="6">
        <v>40981.112222222226</v>
      </c>
      <c r="G11" s="6">
        <v>41009.278692129628</v>
      </c>
    </row>
    <row r="12" spans="1:7" x14ac:dyDescent="0.25">
      <c r="A12" t="s">
        <v>381</v>
      </c>
      <c r="B12" t="str">
        <f>[1]!GetFolder(A12)</f>
        <v>C:\OEM\Preload\utility</v>
      </c>
      <c r="C12" t="str">
        <f>[1]!GetFile(A12)</f>
        <v>_NowIntoDT.vbs</v>
      </c>
      <c r="D12">
        <v>486</v>
      </c>
      <c r="E12" s="6">
        <v>42377.948217592595</v>
      </c>
      <c r="F12" s="6">
        <v>40177.201539351852</v>
      </c>
      <c r="G12" s="6">
        <v>41009.279629629629</v>
      </c>
    </row>
    <row r="13" spans="1:7" x14ac:dyDescent="0.25">
      <c r="A13" t="s">
        <v>380</v>
      </c>
      <c r="B13" t="str">
        <f>[1]!GetFolder(A13)</f>
        <v>C:\Program Files\ImageMagick-6.9.1-Q16\ImageMagickObject\Tests</v>
      </c>
      <c r="C13" t="str">
        <f>[1]!GetFile(A13)</f>
        <v>ArrayTest.vbs</v>
      </c>
      <c r="D13">
        <v>3579</v>
      </c>
      <c r="E13" s="6">
        <v>42377.948946759258</v>
      </c>
      <c r="F13" s="6">
        <v>42196.17863425926</v>
      </c>
      <c r="G13" s="6">
        <v>42201.512071759258</v>
      </c>
    </row>
    <row r="14" spans="1:7" x14ac:dyDescent="0.25">
      <c r="A14" t="s">
        <v>379</v>
      </c>
      <c r="B14" t="str">
        <f>[1]!GetFolder(A14)</f>
        <v>C:\Program Files\ImageMagick-6.9.1-Q16\ImageMagickObject\Tests</v>
      </c>
      <c r="C14" t="str">
        <f>[1]!GetFile(A14)</f>
        <v>SimpleTest.vbs</v>
      </c>
      <c r="D14">
        <v>1563</v>
      </c>
      <c r="E14" s="6">
        <v>42377.948946759258</v>
      </c>
      <c r="F14" s="6">
        <v>42196.17863425926</v>
      </c>
      <c r="G14" s="6">
        <v>42201.512071759258</v>
      </c>
    </row>
    <row r="15" spans="1:7" x14ac:dyDescent="0.25">
      <c r="A15" t="s">
        <v>378</v>
      </c>
      <c r="B15" t="str">
        <f>[1]!GetFolder(A15)</f>
        <v>C:\Program Files (x86)\Gateway\Welcome Center\Unpin</v>
      </c>
      <c r="C15" t="str">
        <f>[1]!GetFile(A15)</f>
        <v>Unpin.vbs</v>
      </c>
      <c r="D15">
        <v>733</v>
      </c>
      <c r="E15" s="6">
        <v>42377.958009259259</v>
      </c>
      <c r="F15" s="6">
        <v>40036.097314814811</v>
      </c>
      <c r="G15" s="6">
        <v>40036.097314814811</v>
      </c>
    </row>
    <row r="16" spans="1:7" x14ac:dyDescent="0.25">
      <c r="A16" t="s">
        <v>377</v>
      </c>
      <c r="B16" t="str">
        <f>[1]!GetFolder(A16)</f>
        <v>C:\Program Files (x86)\Microsoft Office\Office14</v>
      </c>
      <c r="C16" t="str">
        <f>[1]!GetFile(A16)</f>
        <v>OSPP.VBS</v>
      </c>
      <c r="D16">
        <v>49433</v>
      </c>
      <c r="E16" s="6">
        <v>42624.20275462963</v>
      </c>
      <c r="F16" s="6">
        <v>40243.187847222223</v>
      </c>
      <c r="G16" s="6">
        <v>40243.187847222223</v>
      </c>
    </row>
    <row r="17" spans="1:7" x14ac:dyDescent="0.25">
      <c r="A17" t="s">
        <v>376</v>
      </c>
      <c r="B17" t="str">
        <f>[1]!GetFolder(A17)</f>
        <v>C:\Program Files (x86)\Microsoft SDKs\Windows\v7.1A\Include</v>
      </c>
      <c r="C17" t="str">
        <f>[1]!GetFile(A17)</f>
        <v>DHtmled.vbs</v>
      </c>
      <c r="D17">
        <v>14522</v>
      </c>
      <c r="E17" s="6">
        <v>42377.961747685185</v>
      </c>
      <c r="F17" s="6">
        <v>41183.384560185186</v>
      </c>
      <c r="G17" s="6">
        <v>41183.384560185186</v>
      </c>
    </row>
    <row r="18" spans="1:7" x14ac:dyDescent="0.25">
      <c r="A18" t="s">
        <v>375</v>
      </c>
      <c r="B18" t="str">
        <f>[1]!GetFolder(A18)</f>
        <v>C:\Program Files (x86)\Microsoft SDKs\Windows\v7.1A\Include</v>
      </c>
      <c r="C18" t="str">
        <f>[1]!GetFile(A18)</f>
        <v>NNTPReg.Vbs</v>
      </c>
      <c r="D18">
        <v>28761</v>
      </c>
      <c r="E18" s="6">
        <v>42377.961770833332</v>
      </c>
      <c r="F18" s="6">
        <v>41183.384675925925</v>
      </c>
      <c r="G18" s="6">
        <v>41183.384675925925</v>
      </c>
    </row>
    <row r="19" spans="1:7" x14ac:dyDescent="0.25">
      <c r="A19" t="s">
        <v>374</v>
      </c>
      <c r="B19" t="str">
        <f>[1]!GetFolder(A19)</f>
        <v>C:\Program Files (x86)\Microsoft SDKs\Windows\v7.1A\Include</v>
      </c>
      <c r="C19" t="str">
        <f>[1]!GetFile(A19)</f>
        <v>SMTPReg.Vbs</v>
      </c>
      <c r="D19">
        <v>27570</v>
      </c>
      <c r="E19" s="6">
        <v>42377.961782407408</v>
      </c>
      <c r="F19" s="6">
        <v>41183.384722222225</v>
      </c>
      <c r="G19" s="6">
        <v>41183.384722222225</v>
      </c>
    </row>
    <row r="20" spans="1:7" x14ac:dyDescent="0.25">
      <c r="A20" t="s">
        <v>373</v>
      </c>
      <c r="B20" t="str">
        <f>[1]!GetFolder(A20)</f>
        <v>C:\Program Files (x86)\Windows Kits\8.0\bin\x64</v>
      </c>
      <c r="C20" t="str">
        <f>[1]!GetFile(A20)</f>
        <v>register_app.vbs</v>
      </c>
      <c r="D20">
        <v>10946</v>
      </c>
      <c r="E20" s="6">
        <v>42377.972962962966</v>
      </c>
      <c r="F20" s="6">
        <v>41477.638749999998</v>
      </c>
      <c r="G20" s="6">
        <v>41477.638749999998</v>
      </c>
    </row>
    <row r="21" spans="1:7" x14ac:dyDescent="0.25">
      <c r="A21" t="s">
        <v>372</v>
      </c>
      <c r="B21" t="str">
        <f>[1]!GetFolder(A21)</f>
        <v>C:\Program Files (x86)\Windows Kits\8.0\bin\x64</v>
      </c>
      <c r="C21" t="str">
        <f>[1]!GetFile(A21)</f>
        <v>WiCompon.vbs</v>
      </c>
      <c r="D21">
        <v>8705</v>
      </c>
      <c r="E21" s="6">
        <v>42377.972962962966</v>
      </c>
      <c r="F21" s="6">
        <v>41477.635092592594</v>
      </c>
      <c r="G21" s="6">
        <v>41477.635092592594</v>
      </c>
    </row>
    <row r="22" spans="1:7" x14ac:dyDescent="0.25">
      <c r="A22" t="s">
        <v>371</v>
      </c>
      <c r="B22" t="str">
        <f>[1]!GetFolder(A22)</f>
        <v>C:\Program Files (x86)\Windows Kits\8.0\bin\x64</v>
      </c>
      <c r="C22" t="str">
        <f>[1]!GetFile(A22)</f>
        <v>widialog.vbs</v>
      </c>
      <c r="D22">
        <v>4252</v>
      </c>
      <c r="E22" s="6">
        <v>42377.972962962966</v>
      </c>
      <c r="F22" s="6">
        <v>41477.635092592594</v>
      </c>
      <c r="G22" s="6">
        <v>41477.635092592594</v>
      </c>
    </row>
    <row r="23" spans="1:7" x14ac:dyDescent="0.25">
      <c r="A23" t="s">
        <v>370</v>
      </c>
      <c r="B23" t="str">
        <f>[1]!GetFolder(A23)</f>
        <v>C:\Program Files (x86)\Windows Kits\8.0\bin\x64</v>
      </c>
      <c r="C23" t="str">
        <f>[1]!GetFile(A23)</f>
        <v>widiffdb.vbs</v>
      </c>
      <c r="D23">
        <v>4832</v>
      </c>
      <c r="E23" s="6">
        <v>42377.972962962966</v>
      </c>
      <c r="F23" s="6">
        <v>41477.635092592594</v>
      </c>
      <c r="G23" s="6">
        <v>41477.635092592594</v>
      </c>
    </row>
    <row r="24" spans="1:7" x14ac:dyDescent="0.25">
      <c r="A24" t="s">
        <v>369</v>
      </c>
      <c r="B24" t="str">
        <f>[1]!GetFolder(A24)</f>
        <v>C:\Program Files (x86)\Windows Kits\8.0\bin\x64</v>
      </c>
      <c r="C24" t="str">
        <f>[1]!GetFile(A24)</f>
        <v>wiexport.vbs</v>
      </c>
      <c r="D24">
        <v>2837</v>
      </c>
      <c r="E24" s="6">
        <v>42377.972962962966</v>
      </c>
      <c r="F24" s="6">
        <v>41477.635092592594</v>
      </c>
      <c r="G24" s="6">
        <v>41477.635092592594</v>
      </c>
    </row>
    <row r="25" spans="1:7" x14ac:dyDescent="0.25">
      <c r="A25" t="s">
        <v>368</v>
      </c>
      <c r="B25" t="str">
        <f>[1]!GetFolder(A25)</f>
        <v>C:\Program Files (x86)\Windows Kits\8.0\bin\x64</v>
      </c>
      <c r="C25" t="str">
        <f>[1]!GetFile(A25)</f>
        <v>wifeatur.vbs</v>
      </c>
      <c r="D25">
        <v>8232</v>
      </c>
      <c r="E25" s="6">
        <v>42377.972962962966</v>
      </c>
      <c r="F25" s="6">
        <v>41477.635092592594</v>
      </c>
      <c r="G25" s="6">
        <v>41477.635092592594</v>
      </c>
    </row>
    <row r="26" spans="1:7" x14ac:dyDescent="0.25">
      <c r="A26" t="s">
        <v>367</v>
      </c>
      <c r="B26" t="str">
        <f>[1]!GetFolder(A26)</f>
        <v>C:\Program Files (x86)\Windows Kits\8.0\bin\x64</v>
      </c>
      <c r="C26" t="str">
        <f>[1]!GetFile(A26)</f>
        <v>wifilver.vbs</v>
      </c>
      <c r="D26">
        <v>10967</v>
      </c>
      <c r="E26" s="6">
        <v>42377.972962962966</v>
      </c>
      <c r="F26" s="6">
        <v>41477.635092592594</v>
      </c>
      <c r="G26" s="6">
        <v>41477.635092592594</v>
      </c>
    </row>
    <row r="27" spans="1:7" x14ac:dyDescent="0.25">
      <c r="A27" t="s">
        <v>366</v>
      </c>
      <c r="B27" t="str">
        <f>[1]!GetFolder(A27)</f>
        <v>C:\Program Files (x86)\Windows Kits\8.0\bin\x64</v>
      </c>
      <c r="C27" t="str">
        <f>[1]!GetFile(A27)</f>
        <v>wigenxfm.vbs</v>
      </c>
      <c r="D27">
        <v>2186</v>
      </c>
      <c r="E27" s="6">
        <v>42377.972962962966</v>
      </c>
      <c r="F27" s="6">
        <v>41477.635092592594</v>
      </c>
      <c r="G27" s="6">
        <v>41477.635092592594</v>
      </c>
    </row>
    <row r="28" spans="1:7" x14ac:dyDescent="0.25">
      <c r="A28" t="s">
        <v>365</v>
      </c>
      <c r="B28" t="str">
        <f>[1]!GetFolder(A28)</f>
        <v>C:\Program Files (x86)\Windows Kits\8.0\bin\x64</v>
      </c>
      <c r="C28" t="str">
        <f>[1]!GetFile(A28)</f>
        <v>wiimport.vbs</v>
      </c>
      <c r="D28">
        <v>3472</v>
      </c>
      <c r="E28" s="6">
        <v>42377.972962962966</v>
      </c>
      <c r="F28" s="6">
        <v>41477.635092592594</v>
      </c>
      <c r="G28" s="6">
        <v>41477.635092592594</v>
      </c>
    </row>
    <row r="29" spans="1:7" x14ac:dyDescent="0.25">
      <c r="A29" t="s">
        <v>364</v>
      </c>
      <c r="B29" t="str">
        <f>[1]!GetFolder(A29)</f>
        <v>C:\Program Files (x86)\Windows Kits\8.0\bin\x64</v>
      </c>
      <c r="C29" t="str">
        <f>[1]!GetFile(A29)</f>
        <v>wilangid.vbs</v>
      </c>
      <c r="D29">
        <v>7448</v>
      </c>
      <c r="E29" s="6">
        <v>42377.972962962966</v>
      </c>
      <c r="F29" s="6">
        <v>41477.635092592594</v>
      </c>
      <c r="G29" s="6">
        <v>41477.635092592594</v>
      </c>
    </row>
    <row r="30" spans="1:7" x14ac:dyDescent="0.25">
      <c r="A30" t="s">
        <v>363</v>
      </c>
      <c r="B30" t="str">
        <f>[1]!GetFolder(A30)</f>
        <v>C:\Program Files (x86)\Windows Kits\8.0\bin\x64</v>
      </c>
      <c r="C30" t="str">
        <f>[1]!GetFile(A30)</f>
        <v>wilstprd.vbs</v>
      </c>
      <c r="D30">
        <v>7637</v>
      </c>
      <c r="E30" s="6">
        <v>42377.972962962966</v>
      </c>
      <c r="F30" s="6">
        <v>41477.635092592594</v>
      </c>
      <c r="G30" s="6">
        <v>41477.635092592594</v>
      </c>
    </row>
    <row r="31" spans="1:7" x14ac:dyDescent="0.25">
      <c r="A31" t="s">
        <v>362</v>
      </c>
      <c r="B31" t="str">
        <f>[1]!GetFolder(A31)</f>
        <v>C:\Program Files (x86)\Windows Kits\8.0\bin\x64</v>
      </c>
      <c r="C31" t="str">
        <f>[1]!GetFile(A31)</f>
        <v>wilstscr.vbs</v>
      </c>
      <c r="D31">
        <v>2467</v>
      </c>
      <c r="E31" s="6">
        <v>42377.972962962966</v>
      </c>
      <c r="F31" s="6">
        <v>41477.635092592594</v>
      </c>
      <c r="G31" s="6">
        <v>41477.635092592594</v>
      </c>
    </row>
    <row r="32" spans="1:7" x14ac:dyDescent="0.25">
      <c r="A32" t="s">
        <v>361</v>
      </c>
      <c r="B32" t="str">
        <f>[1]!GetFolder(A32)</f>
        <v>C:\Program Files (x86)\Windows Kits\8.0\bin\x64</v>
      </c>
      <c r="C32" t="str">
        <f>[1]!GetFile(A32)</f>
        <v>wilstxfm.vbs</v>
      </c>
      <c r="D32">
        <v>4178</v>
      </c>
      <c r="E32" s="6">
        <v>42377.972962962966</v>
      </c>
      <c r="F32" s="6">
        <v>41477.635092592594</v>
      </c>
      <c r="G32" s="6">
        <v>41477.635092592594</v>
      </c>
    </row>
    <row r="33" spans="1:7" x14ac:dyDescent="0.25">
      <c r="A33" t="s">
        <v>360</v>
      </c>
      <c r="B33" t="str">
        <f>[1]!GetFolder(A33)</f>
        <v>C:\Program Files (x86)\Windows Kits\8.0\bin\x64</v>
      </c>
      <c r="C33" t="str">
        <f>[1]!GetFile(A33)</f>
        <v>wimakcab.vbs</v>
      </c>
      <c r="D33">
        <v>12573</v>
      </c>
      <c r="E33" s="6">
        <v>42377.972962962966</v>
      </c>
      <c r="F33" s="6">
        <v>41477.635092592594</v>
      </c>
      <c r="G33" s="6">
        <v>41477.635092592594</v>
      </c>
    </row>
    <row r="34" spans="1:7" x14ac:dyDescent="0.25">
      <c r="A34" t="s">
        <v>359</v>
      </c>
      <c r="B34" t="str">
        <f>[1]!GetFolder(A34)</f>
        <v>C:\Program Files (x86)\Windows Kits\8.0\bin\x64</v>
      </c>
      <c r="C34" t="str">
        <f>[1]!GetFile(A34)</f>
        <v>wimerge.vbs</v>
      </c>
      <c r="D34">
        <v>3098</v>
      </c>
      <c r="E34" s="6">
        <v>42377.972962962966</v>
      </c>
      <c r="F34" s="6">
        <v>41477.635092592594</v>
      </c>
      <c r="G34" s="6">
        <v>41477.635092592594</v>
      </c>
    </row>
    <row r="35" spans="1:7" x14ac:dyDescent="0.25">
      <c r="A35" t="s">
        <v>358</v>
      </c>
      <c r="B35" t="str">
        <f>[1]!GetFolder(A35)</f>
        <v>C:\Program Files (x86)\Windows Kits\8.0\bin\x64</v>
      </c>
      <c r="C35" t="str">
        <f>[1]!GetFile(A35)</f>
        <v>wipolicy.vbs</v>
      </c>
      <c r="D35">
        <v>8505</v>
      </c>
      <c r="E35" s="6">
        <v>42377.972962962966</v>
      </c>
      <c r="F35" s="6">
        <v>41477.635092592594</v>
      </c>
      <c r="G35" s="6">
        <v>41477.635092592594</v>
      </c>
    </row>
    <row r="36" spans="1:7" x14ac:dyDescent="0.25">
      <c r="A36" t="s">
        <v>357</v>
      </c>
      <c r="B36" t="str">
        <f>[1]!GetFolder(A36)</f>
        <v>C:\Program Files (x86)\Windows Kits\8.0\bin\x64</v>
      </c>
      <c r="C36" t="str">
        <f>[1]!GetFile(A36)</f>
        <v>wirunsql.vbs</v>
      </c>
      <c r="D36">
        <v>3125</v>
      </c>
      <c r="E36" s="6">
        <v>42377.972962962966</v>
      </c>
      <c r="F36" s="6">
        <v>41477.635092592594</v>
      </c>
      <c r="G36" s="6">
        <v>41477.635092592594</v>
      </c>
    </row>
    <row r="37" spans="1:7" x14ac:dyDescent="0.25">
      <c r="A37" t="s">
        <v>356</v>
      </c>
      <c r="B37" t="str">
        <f>[1]!GetFolder(A37)</f>
        <v>C:\Program Files (x86)\Windows Kits\8.0\bin\x64</v>
      </c>
      <c r="C37" t="str">
        <f>[1]!GetFile(A37)</f>
        <v>wistream.vbs</v>
      </c>
      <c r="D37">
        <v>4813</v>
      </c>
      <c r="E37" s="6">
        <v>42377.972962962966</v>
      </c>
      <c r="F37" s="6">
        <v>41477.635092592594</v>
      </c>
      <c r="G37" s="6">
        <v>41477.635092592594</v>
      </c>
    </row>
    <row r="38" spans="1:7" x14ac:dyDescent="0.25">
      <c r="A38" t="s">
        <v>355</v>
      </c>
      <c r="B38" t="str">
        <f>[1]!GetFolder(A38)</f>
        <v>C:\Program Files (x86)\Windows Kits\8.0\bin\x64</v>
      </c>
      <c r="C38" t="str">
        <f>[1]!GetFile(A38)</f>
        <v>wisubstg.vbs</v>
      </c>
      <c r="D38">
        <v>4605</v>
      </c>
      <c r="E38" s="6">
        <v>42377.972962962966</v>
      </c>
      <c r="F38" s="6">
        <v>41477.635092592594</v>
      </c>
      <c r="G38" s="6">
        <v>41477.635092592594</v>
      </c>
    </row>
    <row r="39" spans="1:7" x14ac:dyDescent="0.25">
      <c r="A39" t="s">
        <v>354</v>
      </c>
      <c r="B39" t="str">
        <f>[1]!GetFolder(A39)</f>
        <v>C:\Program Files (x86)\Windows Kits\8.0\bin\x64</v>
      </c>
      <c r="C39" t="str">
        <f>[1]!GetFile(A39)</f>
        <v>wisuminf.vbs</v>
      </c>
      <c r="D39">
        <v>6401</v>
      </c>
      <c r="E39" s="6">
        <v>42377.972962962966</v>
      </c>
      <c r="F39" s="6">
        <v>41477.635092592594</v>
      </c>
      <c r="G39" s="6">
        <v>41477.635092592594</v>
      </c>
    </row>
    <row r="40" spans="1:7" x14ac:dyDescent="0.25">
      <c r="A40" t="s">
        <v>353</v>
      </c>
      <c r="B40" t="str">
        <f>[1]!GetFolder(A40)</f>
        <v>C:\Program Files (x86)\Windows Kits\8.0\bin\x64</v>
      </c>
      <c r="C40" t="str">
        <f>[1]!GetFile(A40)</f>
        <v>witextin.vbs</v>
      </c>
      <c r="D40">
        <v>3808</v>
      </c>
      <c r="E40" s="6">
        <v>42377.972962962966</v>
      </c>
      <c r="F40" s="6">
        <v>41477.635092592594</v>
      </c>
      <c r="G40" s="6">
        <v>41477.635092592594</v>
      </c>
    </row>
    <row r="41" spans="1:7" x14ac:dyDescent="0.25">
      <c r="A41" t="s">
        <v>352</v>
      </c>
      <c r="B41" t="str">
        <f>[1]!GetFolder(A41)</f>
        <v>C:\Program Files (x86)\Windows Kits\8.0\bin\x64</v>
      </c>
      <c r="C41" t="str">
        <f>[1]!GetFile(A41)</f>
        <v>witoansi.vbs</v>
      </c>
      <c r="D41">
        <v>1989</v>
      </c>
      <c r="E41" s="6">
        <v>42377.972962962966</v>
      </c>
      <c r="F41" s="6">
        <v>41477.635092592594</v>
      </c>
      <c r="G41" s="6">
        <v>41477.635092592594</v>
      </c>
    </row>
    <row r="42" spans="1:7" x14ac:dyDescent="0.25">
      <c r="A42" t="s">
        <v>351</v>
      </c>
      <c r="B42" t="str">
        <f>[1]!GetFolder(A42)</f>
        <v>C:\Program Files (x86)\Windows Kits\8.0\bin\x64</v>
      </c>
      <c r="C42" t="str">
        <f>[1]!GetFile(A42)</f>
        <v>wiusexfm.vbs</v>
      </c>
      <c r="D42">
        <v>2822</v>
      </c>
      <c r="E42" s="6">
        <v>42377.972962962966</v>
      </c>
      <c r="F42" s="6">
        <v>41477.635092592594</v>
      </c>
      <c r="G42" s="6">
        <v>41477.635092592594</v>
      </c>
    </row>
    <row r="43" spans="1:7" x14ac:dyDescent="0.25">
      <c r="A43" t="s">
        <v>350</v>
      </c>
      <c r="B43" t="str">
        <f>[1]!GetFolder(A43)</f>
        <v>C:\Program Files (x86)\Windows Kits\8.0\bin\x86</v>
      </c>
      <c r="C43" t="str">
        <f>[1]!GetFile(A43)</f>
        <v>register_app.vbs</v>
      </c>
      <c r="D43">
        <v>10946</v>
      </c>
      <c r="E43" s="6">
        <v>42377.973055555558</v>
      </c>
      <c r="F43" s="6">
        <v>41096.555879629632</v>
      </c>
      <c r="G43" s="6">
        <v>41096.555879629632</v>
      </c>
    </row>
    <row r="44" spans="1:7" x14ac:dyDescent="0.25">
      <c r="A44" t="s">
        <v>349</v>
      </c>
      <c r="B44" t="str">
        <f>[1]!GetFolder(A44)</f>
        <v>C:\Program Files (x86)\Windows Kits\8.0\bin\x86</v>
      </c>
      <c r="C44" t="str">
        <f>[1]!GetFile(A44)</f>
        <v>WiCompon.vbs</v>
      </c>
      <c r="D44">
        <v>8705</v>
      </c>
      <c r="E44" s="6">
        <v>42377.973067129627</v>
      </c>
      <c r="F44" s="6">
        <v>41096.536782407406</v>
      </c>
      <c r="G44" s="6">
        <v>41096.536782407406</v>
      </c>
    </row>
    <row r="45" spans="1:7" x14ac:dyDescent="0.25">
      <c r="A45" t="s">
        <v>348</v>
      </c>
      <c r="B45" t="str">
        <f>[1]!GetFolder(A45)</f>
        <v>C:\Program Files (x86)\Windows Kits\8.0\bin\x86</v>
      </c>
      <c r="C45" t="str">
        <f>[1]!GetFile(A45)</f>
        <v>widialog.vbs</v>
      </c>
      <c r="D45">
        <v>4252</v>
      </c>
      <c r="E45" s="6">
        <v>42377.973067129627</v>
      </c>
      <c r="F45" s="6">
        <v>41096.536782407406</v>
      </c>
      <c r="G45" s="6">
        <v>41096.536782407406</v>
      </c>
    </row>
    <row r="46" spans="1:7" x14ac:dyDescent="0.25">
      <c r="A46" t="s">
        <v>347</v>
      </c>
      <c r="B46" t="str">
        <f>[1]!GetFolder(A46)</f>
        <v>C:\Program Files (x86)\Windows Kits\8.0\bin\x86</v>
      </c>
      <c r="C46" t="str">
        <f>[1]!GetFile(A46)</f>
        <v>widiffdb.vbs</v>
      </c>
      <c r="D46">
        <v>4832</v>
      </c>
      <c r="E46" s="6">
        <v>42377.973067129627</v>
      </c>
      <c r="F46" s="6">
        <v>41096.536782407406</v>
      </c>
      <c r="G46" s="6">
        <v>41096.536782407406</v>
      </c>
    </row>
    <row r="47" spans="1:7" x14ac:dyDescent="0.25">
      <c r="A47" t="s">
        <v>346</v>
      </c>
      <c r="B47" t="str">
        <f>[1]!GetFolder(A47)</f>
        <v>C:\Program Files (x86)\Windows Kits\8.0\bin\x86</v>
      </c>
      <c r="C47" t="str">
        <f>[1]!GetFile(A47)</f>
        <v>wiexport.vbs</v>
      </c>
      <c r="D47">
        <v>2837</v>
      </c>
      <c r="E47" s="6">
        <v>42377.973067129627</v>
      </c>
      <c r="F47" s="6">
        <v>41096.536782407406</v>
      </c>
      <c r="G47" s="6">
        <v>41096.536782407406</v>
      </c>
    </row>
    <row r="48" spans="1:7" x14ac:dyDescent="0.25">
      <c r="A48" t="s">
        <v>345</v>
      </c>
      <c r="B48" t="str">
        <f>[1]!GetFolder(A48)</f>
        <v>C:\Program Files (x86)\Windows Kits\8.0\bin\x86</v>
      </c>
      <c r="C48" t="str">
        <f>[1]!GetFile(A48)</f>
        <v>wifeatur.vbs</v>
      </c>
      <c r="D48">
        <v>8232</v>
      </c>
      <c r="E48" s="6">
        <v>42377.973067129627</v>
      </c>
      <c r="F48" s="6">
        <v>41096.536782407406</v>
      </c>
      <c r="G48" s="6">
        <v>41096.536782407406</v>
      </c>
    </row>
    <row r="49" spans="1:7" x14ac:dyDescent="0.25">
      <c r="A49" t="s">
        <v>344</v>
      </c>
      <c r="B49" t="str">
        <f>[1]!GetFolder(A49)</f>
        <v>C:\Program Files (x86)\Windows Kits\8.0\bin\x86</v>
      </c>
      <c r="C49" t="str">
        <f>[1]!GetFile(A49)</f>
        <v>wifilver.vbs</v>
      </c>
      <c r="D49">
        <v>10967</v>
      </c>
      <c r="E49" s="6">
        <v>42377.973067129627</v>
      </c>
      <c r="F49" s="6">
        <v>41096.536782407406</v>
      </c>
      <c r="G49" s="6">
        <v>41096.536782407406</v>
      </c>
    </row>
    <row r="50" spans="1:7" x14ac:dyDescent="0.25">
      <c r="A50" t="s">
        <v>343</v>
      </c>
      <c r="B50" t="str">
        <f>[1]!GetFolder(A50)</f>
        <v>C:\Program Files (x86)\Windows Kits\8.0\bin\x86</v>
      </c>
      <c r="C50" t="str">
        <f>[1]!GetFile(A50)</f>
        <v>wigenxfm.vbs</v>
      </c>
      <c r="D50">
        <v>2186</v>
      </c>
      <c r="E50" s="6">
        <v>42377.973067129627</v>
      </c>
      <c r="F50" s="6">
        <v>41096.536782407406</v>
      </c>
      <c r="G50" s="6">
        <v>41096.536782407406</v>
      </c>
    </row>
    <row r="51" spans="1:7" x14ac:dyDescent="0.25">
      <c r="A51" t="s">
        <v>342</v>
      </c>
      <c r="B51" t="str">
        <f>[1]!GetFolder(A51)</f>
        <v>C:\Program Files (x86)\Windows Kits\8.0\bin\x86</v>
      </c>
      <c r="C51" t="str">
        <f>[1]!GetFile(A51)</f>
        <v>wiimport.vbs</v>
      </c>
      <c r="D51">
        <v>3472</v>
      </c>
      <c r="E51" s="6">
        <v>42377.973067129627</v>
      </c>
      <c r="F51" s="6">
        <v>41096.536782407406</v>
      </c>
      <c r="G51" s="6">
        <v>41096.536782407406</v>
      </c>
    </row>
    <row r="52" spans="1:7" x14ac:dyDescent="0.25">
      <c r="A52" t="s">
        <v>341</v>
      </c>
      <c r="B52" t="str">
        <f>[1]!GetFolder(A52)</f>
        <v>C:\Program Files (x86)\Windows Kits\8.0\bin\x86</v>
      </c>
      <c r="C52" t="str">
        <f>[1]!GetFile(A52)</f>
        <v>wilangid.vbs</v>
      </c>
      <c r="D52">
        <v>7448</v>
      </c>
      <c r="E52" s="6">
        <v>42377.973067129627</v>
      </c>
      <c r="F52" s="6">
        <v>41096.536782407406</v>
      </c>
      <c r="G52" s="6">
        <v>41096.536782407406</v>
      </c>
    </row>
    <row r="53" spans="1:7" x14ac:dyDescent="0.25">
      <c r="A53" t="s">
        <v>340</v>
      </c>
      <c r="B53" t="str">
        <f>[1]!GetFolder(A53)</f>
        <v>C:\Program Files (x86)\Windows Kits\8.0\bin\x86</v>
      </c>
      <c r="C53" t="str">
        <f>[1]!GetFile(A53)</f>
        <v>wilstprd.vbs</v>
      </c>
      <c r="D53">
        <v>7637</v>
      </c>
      <c r="E53" s="6">
        <v>42377.973067129627</v>
      </c>
      <c r="F53" s="6">
        <v>41096.536782407406</v>
      </c>
      <c r="G53" s="6">
        <v>41096.536782407406</v>
      </c>
    </row>
    <row r="54" spans="1:7" x14ac:dyDescent="0.25">
      <c r="A54" t="s">
        <v>339</v>
      </c>
      <c r="B54" t="str">
        <f>[1]!GetFolder(A54)</f>
        <v>C:\Program Files (x86)\Windows Kits\8.0\bin\x86</v>
      </c>
      <c r="C54" t="str">
        <f>[1]!GetFile(A54)</f>
        <v>wilstscr.vbs</v>
      </c>
      <c r="D54">
        <v>2467</v>
      </c>
      <c r="E54" s="6">
        <v>42377.973067129627</v>
      </c>
      <c r="F54" s="6">
        <v>41096.536782407406</v>
      </c>
      <c r="G54" s="6">
        <v>41096.536782407406</v>
      </c>
    </row>
    <row r="55" spans="1:7" x14ac:dyDescent="0.25">
      <c r="A55" t="s">
        <v>338</v>
      </c>
      <c r="B55" t="str">
        <f>[1]!GetFolder(A55)</f>
        <v>C:\Program Files (x86)\Windows Kits\8.0\bin\x86</v>
      </c>
      <c r="C55" t="str">
        <f>[1]!GetFile(A55)</f>
        <v>wilstxfm.vbs</v>
      </c>
      <c r="D55">
        <v>4178</v>
      </c>
      <c r="E55" s="6">
        <v>42377.973067129627</v>
      </c>
      <c r="F55" s="6">
        <v>41096.536782407406</v>
      </c>
      <c r="G55" s="6">
        <v>41096.536782407406</v>
      </c>
    </row>
    <row r="56" spans="1:7" x14ac:dyDescent="0.25">
      <c r="A56" t="s">
        <v>337</v>
      </c>
      <c r="B56" t="str">
        <f>[1]!GetFolder(A56)</f>
        <v>C:\Program Files (x86)\Windows Kits\8.0\bin\x86</v>
      </c>
      <c r="C56" t="str">
        <f>[1]!GetFile(A56)</f>
        <v>wimakcab.vbs</v>
      </c>
      <c r="D56">
        <v>12573</v>
      </c>
      <c r="E56" s="6">
        <v>42377.973067129627</v>
      </c>
      <c r="F56" s="6">
        <v>41096.536782407406</v>
      </c>
      <c r="G56" s="6">
        <v>41096.536782407406</v>
      </c>
    </row>
    <row r="57" spans="1:7" x14ac:dyDescent="0.25">
      <c r="A57" t="s">
        <v>336</v>
      </c>
      <c r="B57" t="str">
        <f>[1]!GetFolder(A57)</f>
        <v>C:\Program Files (x86)\Windows Kits\8.0\bin\x86</v>
      </c>
      <c r="C57" t="str">
        <f>[1]!GetFile(A57)</f>
        <v>wimerge.vbs</v>
      </c>
      <c r="D57">
        <v>3098</v>
      </c>
      <c r="E57" s="6">
        <v>42377.973067129627</v>
      </c>
      <c r="F57" s="6">
        <v>41096.536782407406</v>
      </c>
      <c r="G57" s="6">
        <v>41096.536782407406</v>
      </c>
    </row>
    <row r="58" spans="1:7" x14ac:dyDescent="0.25">
      <c r="A58" t="s">
        <v>335</v>
      </c>
      <c r="B58" t="str">
        <f>[1]!GetFolder(A58)</f>
        <v>C:\Program Files (x86)\Windows Kits\8.0\bin\x86</v>
      </c>
      <c r="C58" t="str">
        <f>[1]!GetFile(A58)</f>
        <v>wipolicy.vbs</v>
      </c>
      <c r="D58">
        <v>8505</v>
      </c>
      <c r="E58" s="6">
        <v>42377.973067129627</v>
      </c>
      <c r="F58" s="6">
        <v>41096.536782407406</v>
      </c>
      <c r="G58" s="6">
        <v>41096.536782407406</v>
      </c>
    </row>
    <row r="59" spans="1:7" x14ac:dyDescent="0.25">
      <c r="A59" t="s">
        <v>334</v>
      </c>
      <c r="B59" t="str">
        <f>[1]!GetFolder(A59)</f>
        <v>C:\Program Files (x86)\Windows Kits\8.0\bin\x86</v>
      </c>
      <c r="C59" t="str">
        <f>[1]!GetFile(A59)</f>
        <v>wirunsql.vbs</v>
      </c>
      <c r="D59">
        <v>3125</v>
      </c>
      <c r="E59" s="6">
        <v>42377.973067129627</v>
      </c>
      <c r="F59" s="6">
        <v>41096.536782407406</v>
      </c>
      <c r="G59" s="6">
        <v>41096.536782407406</v>
      </c>
    </row>
    <row r="60" spans="1:7" x14ac:dyDescent="0.25">
      <c r="A60" t="s">
        <v>333</v>
      </c>
      <c r="B60" t="str">
        <f>[1]!GetFolder(A60)</f>
        <v>C:\Program Files (x86)\Windows Kits\8.0\bin\x86</v>
      </c>
      <c r="C60" t="str">
        <f>[1]!GetFile(A60)</f>
        <v>wistream.vbs</v>
      </c>
      <c r="D60">
        <v>4813</v>
      </c>
      <c r="E60" s="6">
        <v>42377.973067129627</v>
      </c>
      <c r="F60" s="6">
        <v>41096.536782407406</v>
      </c>
      <c r="G60" s="6">
        <v>41096.536782407406</v>
      </c>
    </row>
    <row r="61" spans="1:7" x14ac:dyDescent="0.25">
      <c r="A61" t="s">
        <v>332</v>
      </c>
      <c r="B61" t="str">
        <f>[1]!GetFolder(A61)</f>
        <v>C:\Program Files (x86)\Windows Kits\8.0\bin\x86</v>
      </c>
      <c r="C61" t="str">
        <f>[1]!GetFile(A61)</f>
        <v>wisubstg.vbs</v>
      </c>
      <c r="D61">
        <v>4605</v>
      </c>
      <c r="E61" s="6">
        <v>42377.973067129627</v>
      </c>
      <c r="F61" s="6">
        <v>41096.536782407406</v>
      </c>
      <c r="G61" s="6">
        <v>41096.536782407406</v>
      </c>
    </row>
    <row r="62" spans="1:7" x14ac:dyDescent="0.25">
      <c r="A62" t="s">
        <v>331</v>
      </c>
      <c r="B62" t="str">
        <f>[1]!GetFolder(A62)</f>
        <v>C:\Program Files (x86)\Windows Kits\8.0\bin\x86</v>
      </c>
      <c r="C62" t="str">
        <f>[1]!GetFile(A62)</f>
        <v>wisuminf.vbs</v>
      </c>
      <c r="D62">
        <v>6401</v>
      </c>
      <c r="E62" s="6">
        <v>42377.973067129627</v>
      </c>
      <c r="F62" s="6">
        <v>41096.536782407406</v>
      </c>
      <c r="G62" s="6">
        <v>41096.536782407406</v>
      </c>
    </row>
    <row r="63" spans="1:7" x14ac:dyDescent="0.25">
      <c r="A63" t="s">
        <v>330</v>
      </c>
      <c r="B63" t="str">
        <f>[1]!GetFolder(A63)</f>
        <v>C:\Program Files (x86)\Windows Kits\8.0\bin\x86</v>
      </c>
      <c r="C63" t="str">
        <f>[1]!GetFile(A63)</f>
        <v>witextin.vbs</v>
      </c>
      <c r="D63">
        <v>3808</v>
      </c>
      <c r="E63" s="6">
        <v>42377.973067129627</v>
      </c>
      <c r="F63" s="6">
        <v>41096.536782407406</v>
      </c>
      <c r="G63" s="6">
        <v>41096.536782407406</v>
      </c>
    </row>
    <row r="64" spans="1:7" x14ac:dyDescent="0.25">
      <c r="A64" t="s">
        <v>329</v>
      </c>
      <c r="B64" t="str">
        <f>[1]!GetFolder(A64)</f>
        <v>C:\Program Files (x86)\Windows Kits\8.0\bin\x86</v>
      </c>
      <c r="C64" t="str">
        <f>[1]!GetFile(A64)</f>
        <v>witoansi.vbs</v>
      </c>
      <c r="D64">
        <v>1989</v>
      </c>
      <c r="E64" s="6">
        <v>42377.973067129627</v>
      </c>
      <c r="F64" s="6">
        <v>41096.536782407406</v>
      </c>
      <c r="G64" s="6">
        <v>41096.536782407406</v>
      </c>
    </row>
    <row r="65" spans="1:7" x14ac:dyDescent="0.25">
      <c r="A65" t="s">
        <v>328</v>
      </c>
      <c r="B65" t="str">
        <f>[1]!GetFolder(A65)</f>
        <v>C:\Program Files (x86)\Windows Kits\8.0\bin\x86</v>
      </c>
      <c r="C65" t="str">
        <f>[1]!GetFile(A65)</f>
        <v>wiusexfm.vbs</v>
      </c>
      <c r="D65">
        <v>2822</v>
      </c>
      <c r="E65" s="6">
        <v>42377.973067129627</v>
      </c>
      <c r="F65" s="6">
        <v>41096.536782407406</v>
      </c>
      <c r="G65" s="6">
        <v>41096.536782407406</v>
      </c>
    </row>
    <row r="66" spans="1:7" x14ac:dyDescent="0.25">
      <c r="A66" t="s">
        <v>327</v>
      </c>
      <c r="B66" t="str">
        <f>[1]!GetFolder(A66)</f>
        <v>C:\Program Files (x86)\Windows Kits\8.1\bin\x64</v>
      </c>
      <c r="C66" t="str">
        <f>[1]!GetFile(A66)</f>
        <v>register_app.vbs</v>
      </c>
      <c r="D66">
        <v>10946</v>
      </c>
      <c r="E66" s="6">
        <v>42377.974490740744</v>
      </c>
      <c r="F66" s="6">
        <v>41443.35597222222</v>
      </c>
      <c r="G66" s="6">
        <v>41443.35597222222</v>
      </c>
    </row>
    <row r="67" spans="1:7" x14ac:dyDescent="0.25">
      <c r="A67" t="s">
        <v>326</v>
      </c>
      <c r="B67" t="str">
        <f>[1]!GetFolder(A67)</f>
        <v>C:\Program Files (x86)\Windows Kits\8.1\bin\x64</v>
      </c>
      <c r="C67" t="str">
        <f>[1]!GetFile(A67)</f>
        <v>WiCompon.vbs</v>
      </c>
      <c r="D67">
        <v>8705</v>
      </c>
      <c r="E67" s="6">
        <v>42377.974502314813</v>
      </c>
      <c r="F67" s="6">
        <v>41443.325601851851</v>
      </c>
      <c r="G67" s="6">
        <v>41443.325601851851</v>
      </c>
    </row>
    <row r="68" spans="1:7" x14ac:dyDescent="0.25">
      <c r="A68" t="s">
        <v>325</v>
      </c>
      <c r="B68" t="str">
        <f>[1]!GetFolder(A68)</f>
        <v>C:\Program Files (x86)\Windows Kits\8.1\bin\x64</v>
      </c>
      <c r="C68" t="str">
        <f>[1]!GetFile(A68)</f>
        <v>widialog.vbs</v>
      </c>
      <c r="D68">
        <v>4252</v>
      </c>
      <c r="E68" s="6">
        <v>42377.974502314813</v>
      </c>
      <c r="F68" s="6">
        <v>41443.325601851851</v>
      </c>
      <c r="G68" s="6">
        <v>41443.325601851851</v>
      </c>
    </row>
    <row r="69" spans="1:7" x14ac:dyDescent="0.25">
      <c r="A69" t="s">
        <v>324</v>
      </c>
      <c r="B69" t="str">
        <f>[1]!GetFolder(A69)</f>
        <v>C:\Program Files (x86)\Windows Kits\8.1\bin\x64</v>
      </c>
      <c r="C69" t="str">
        <f>[1]!GetFile(A69)</f>
        <v>widiffdb.vbs</v>
      </c>
      <c r="D69">
        <v>4832</v>
      </c>
      <c r="E69" s="6">
        <v>42377.974502314813</v>
      </c>
      <c r="F69" s="6">
        <v>41443.325601851851</v>
      </c>
      <c r="G69" s="6">
        <v>41443.325601851851</v>
      </c>
    </row>
    <row r="70" spans="1:7" x14ac:dyDescent="0.25">
      <c r="A70" t="s">
        <v>323</v>
      </c>
      <c r="B70" t="str">
        <f>[1]!GetFolder(A70)</f>
        <v>C:\Program Files (x86)\Windows Kits\8.1\bin\x64</v>
      </c>
      <c r="C70" t="str">
        <f>[1]!GetFile(A70)</f>
        <v>wiexport.vbs</v>
      </c>
      <c r="D70">
        <v>2837</v>
      </c>
      <c r="E70" s="6">
        <v>42377.974502314813</v>
      </c>
      <c r="F70" s="6">
        <v>41443.325601851851</v>
      </c>
      <c r="G70" s="6">
        <v>41443.325601851851</v>
      </c>
    </row>
    <row r="71" spans="1:7" x14ac:dyDescent="0.25">
      <c r="A71" t="s">
        <v>322</v>
      </c>
      <c r="B71" t="str">
        <f>[1]!GetFolder(A71)</f>
        <v>C:\Program Files (x86)\Windows Kits\8.1\bin\x64</v>
      </c>
      <c r="C71" t="str">
        <f>[1]!GetFile(A71)</f>
        <v>wifeatur.vbs</v>
      </c>
      <c r="D71">
        <v>8232</v>
      </c>
      <c r="E71" s="6">
        <v>42377.974502314813</v>
      </c>
      <c r="F71" s="6">
        <v>41443.325601851851</v>
      </c>
      <c r="G71" s="6">
        <v>41443.325601851851</v>
      </c>
    </row>
    <row r="72" spans="1:7" x14ac:dyDescent="0.25">
      <c r="A72" t="s">
        <v>321</v>
      </c>
      <c r="B72" t="str">
        <f>[1]!GetFolder(A72)</f>
        <v>C:\Program Files (x86)\Windows Kits\8.1\bin\x64</v>
      </c>
      <c r="C72" t="str">
        <f>[1]!GetFile(A72)</f>
        <v>wifilver.vbs</v>
      </c>
      <c r="D72">
        <v>10967</v>
      </c>
      <c r="E72" s="6">
        <v>42377.974502314813</v>
      </c>
      <c r="F72" s="6">
        <v>41443.325601851851</v>
      </c>
      <c r="G72" s="6">
        <v>41443.325601851851</v>
      </c>
    </row>
    <row r="73" spans="1:7" x14ac:dyDescent="0.25">
      <c r="A73" t="s">
        <v>320</v>
      </c>
      <c r="B73" t="str">
        <f>[1]!GetFolder(A73)</f>
        <v>C:\Program Files (x86)\Windows Kits\8.1\bin\x64</v>
      </c>
      <c r="C73" t="str">
        <f>[1]!GetFile(A73)</f>
        <v>wigenxfm.vbs</v>
      </c>
      <c r="D73">
        <v>2186</v>
      </c>
      <c r="E73" s="6">
        <v>42377.974502314813</v>
      </c>
      <c r="F73" s="6">
        <v>41443.325601851851</v>
      </c>
      <c r="G73" s="6">
        <v>41443.325601851851</v>
      </c>
    </row>
    <row r="74" spans="1:7" x14ac:dyDescent="0.25">
      <c r="A74" t="s">
        <v>319</v>
      </c>
      <c r="B74" t="str">
        <f>[1]!GetFolder(A74)</f>
        <v>C:\Program Files (x86)\Windows Kits\8.1\bin\x64</v>
      </c>
      <c r="C74" t="str">
        <f>[1]!GetFile(A74)</f>
        <v>wiimport.vbs</v>
      </c>
      <c r="D74">
        <v>3472</v>
      </c>
      <c r="E74" s="6">
        <v>42377.974502314813</v>
      </c>
      <c r="F74" s="6">
        <v>41443.325601851851</v>
      </c>
      <c r="G74" s="6">
        <v>41443.325601851851</v>
      </c>
    </row>
    <row r="75" spans="1:7" x14ac:dyDescent="0.25">
      <c r="A75" t="s">
        <v>318</v>
      </c>
      <c r="B75" t="str">
        <f>[1]!GetFolder(A75)</f>
        <v>C:\Program Files (x86)\Windows Kits\8.1\bin\x64</v>
      </c>
      <c r="C75" t="str">
        <f>[1]!GetFile(A75)</f>
        <v>wilangid.vbs</v>
      </c>
      <c r="D75">
        <v>7448</v>
      </c>
      <c r="E75" s="6">
        <v>42377.974502314813</v>
      </c>
      <c r="F75" s="6">
        <v>41443.325601851851</v>
      </c>
      <c r="G75" s="6">
        <v>41443.325601851851</v>
      </c>
    </row>
    <row r="76" spans="1:7" x14ac:dyDescent="0.25">
      <c r="A76" t="s">
        <v>317</v>
      </c>
      <c r="B76" t="str">
        <f>[1]!GetFolder(A76)</f>
        <v>C:\Program Files (x86)\Windows Kits\8.1\bin\x64</v>
      </c>
      <c r="C76" t="str">
        <f>[1]!GetFile(A76)</f>
        <v>wilstprd.vbs</v>
      </c>
      <c r="D76">
        <v>7637</v>
      </c>
      <c r="E76" s="6">
        <v>42377.974502314813</v>
      </c>
      <c r="F76" s="6">
        <v>41443.325601851851</v>
      </c>
      <c r="G76" s="6">
        <v>41443.325601851851</v>
      </c>
    </row>
    <row r="77" spans="1:7" x14ac:dyDescent="0.25">
      <c r="A77" t="s">
        <v>316</v>
      </c>
      <c r="B77" t="str">
        <f>[1]!GetFolder(A77)</f>
        <v>C:\Program Files (x86)\Windows Kits\8.1\bin\x64</v>
      </c>
      <c r="C77" t="str">
        <f>[1]!GetFile(A77)</f>
        <v>wilstscr.vbs</v>
      </c>
      <c r="D77">
        <v>2467</v>
      </c>
      <c r="E77" s="6">
        <v>42377.974502314813</v>
      </c>
      <c r="F77" s="6">
        <v>41443.325601851851</v>
      </c>
      <c r="G77" s="6">
        <v>41443.325601851851</v>
      </c>
    </row>
    <row r="78" spans="1:7" x14ac:dyDescent="0.25">
      <c r="A78" t="s">
        <v>315</v>
      </c>
      <c r="B78" t="str">
        <f>[1]!GetFolder(A78)</f>
        <v>C:\Program Files (x86)\Windows Kits\8.1\bin\x64</v>
      </c>
      <c r="C78" t="str">
        <f>[1]!GetFile(A78)</f>
        <v>wilstxfm.vbs</v>
      </c>
      <c r="D78">
        <v>4178</v>
      </c>
      <c r="E78" s="6">
        <v>42377.974502314813</v>
      </c>
      <c r="F78" s="6">
        <v>41443.325601851851</v>
      </c>
      <c r="G78" s="6">
        <v>41443.325601851851</v>
      </c>
    </row>
    <row r="79" spans="1:7" x14ac:dyDescent="0.25">
      <c r="A79" t="s">
        <v>314</v>
      </c>
      <c r="B79" t="str">
        <f>[1]!GetFolder(A79)</f>
        <v>C:\Program Files (x86)\Windows Kits\8.1\bin\x64</v>
      </c>
      <c r="C79" t="str">
        <f>[1]!GetFile(A79)</f>
        <v>wimakcab.vbs</v>
      </c>
      <c r="D79">
        <v>12573</v>
      </c>
      <c r="E79" s="6">
        <v>42377.974502314813</v>
      </c>
      <c r="F79" s="6">
        <v>41443.325601851851</v>
      </c>
      <c r="G79" s="6">
        <v>41443.325601851851</v>
      </c>
    </row>
    <row r="80" spans="1:7" x14ac:dyDescent="0.25">
      <c r="A80" t="s">
        <v>313</v>
      </c>
      <c r="B80" t="str">
        <f>[1]!GetFolder(A80)</f>
        <v>C:\Program Files (x86)\Windows Kits\8.1\bin\x64</v>
      </c>
      <c r="C80" t="str">
        <f>[1]!GetFile(A80)</f>
        <v>wimerge.vbs</v>
      </c>
      <c r="D80">
        <v>3098</v>
      </c>
      <c r="E80" s="6">
        <v>42377.974502314813</v>
      </c>
      <c r="F80" s="6">
        <v>41443.325601851851</v>
      </c>
      <c r="G80" s="6">
        <v>41443.325601851851</v>
      </c>
    </row>
    <row r="81" spans="1:7" x14ac:dyDescent="0.25">
      <c r="A81" t="s">
        <v>312</v>
      </c>
      <c r="B81" t="str">
        <f>[1]!GetFolder(A81)</f>
        <v>C:\Program Files (x86)\Windows Kits\8.1\bin\x64</v>
      </c>
      <c r="C81" t="str">
        <f>[1]!GetFile(A81)</f>
        <v>wipolicy.vbs</v>
      </c>
      <c r="D81">
        <v>8505</v>
      </c>
      <c r="E81" s="6">
        <v>42377.974502314813</v>
      </c>
      <c r="F81" s="6">
        <v>41443.325601851851</v>
      </c>
      <c r="G81" s="6">
        <v>41443.325601851851</v>
      </c>
    </row>
    <row r="82" spans="1:7" x14ac:dyDescent="0.25">
      <c r="A82" t="s">
        <v>311</v>
      </c>
      <c r="B82" t="str">
        <f>[1]!GetFolder(A82)</f>
        <v>C:\Program Files (x86)\Windows Kits\8.1\bin\x64</v>
      </c>
      <c r="C82" t="str">
        <f>[1]!GetFile(A82)</f>
        <v>wirunsql.vbs</v>
      </c>
      <c r="D82">
        <v>3125</v>
      </c>
      <c r="E82" s="6">
        <v>42377.974502314813</v>
      </c>
      <c r="F82" s="6">
        <v>41443.325601851851</v>
      </c>
      <c r="G82" s="6">
        <v>41443.325601851851</v>
      </c>
    </row>
    <row r="83" spans="1:7" x14ac:dyDescent="0.25">
      <c r="A83" t="s">
        <v>310</v>
      </c>
      <c r="B83" t="str">
        <f>[1]!GetFolder(A83)</f>
        <v>C:\Program Files (x86)\Windows Kits\8.1\bin\x64</v>
      </c>
      <c r="C83" t="str">
        <f>[1]!GetFile(A83)</f>
        <v>wistream.vbs</v>
      </c>
      <c r="D83">
        <v>4813</v>
      </c>
      <c r="E83" s="6">
        <v>42377.974502314813</v>
      </c>
      <c r="F83" s="6">
        <v>41443.325601851851</v>
      </c>
      <c r="G83" s="6">
        <v>41443.325601851851</v>
      </c>
    </row>
    <row r="84" spans="1:7" x14ac:dyDescent="0.25">
      <c r="A84" t="s">
        <v>309</v>
      </c>
      <c r="B84" t="str">
        <f>[1]!GetFolder(A84)</f>
        <v>C:\Program Files (x86)\Windows Kits\8.1\bin\x64</v>
      </c>
      <c r="C84" t="str">
        <f>[1]!GetFile(A84)</f>
        <v>wisubstg.vbs</v>
      </c>
      <c r="D84">
        <v>4605</v>
      </c>
      <c r="E84" s="6">
        <v>42377.974502314813</v>
      </c>
      <c r="F84" s="6">
        <v>41443.325601851851</v>
      </c>
      <c r="G84" s="6">
        <v>41443.325601851851</v>
      </c>
    </row>
    <row r="85" spans="1:7" x14ac:dyDescent="0.25">
      <c r="A85" t="s">
        <v>308</v>
      </c>
      <c r="B85" t="str">
        <f>[1]!GetFolder(A85)</f>
        <v>C:\Program Files (x86)\Windows Kits\8.1\bin\x64</v>
      </c>
      <c r="C85" t="str">
        <f>[1]!GetFile(A85)</f>
        <v>wisuminf.vbs</v>
      </c>
      <c r="D85">
        <v>6401</v>
      </c>
      <c r="E85" s="6">
        <v>42377.974502314813</v>
      </c>
      <c r="F85" s="6">
        <v>41443.325601851851</v>
      </c>
      <c r="G85" s="6">
        <v>41443.325601851851</v>
      </c>
    </row>
    <row r="86" spans="1:7" x14ac:dyDescent="0.25">
      <c r="A86" t="s">
        <v>307</v>
      </c>
      <c r="B86" t="str">
        <f>[1]!GetFolder(A86)</f>
        <v>C:\Program Files (x86)\Windows Kits\8.1\bin\x64</v>
      </c>
      <c r="C86" t="str">
        <f>[1]!GetFile(A86)</f>
        <v>witextin.vbs</v>
      </c>
      <c r="D86">
        <v>3808</v>
      </c>
      <c r="E86" s="6">
        <v>42377.974502314813</v>
      </c>
      <c r="F86" s="6">
        <v>41443.325601851851</v>
      </c>
      <c r="G86" s="6">
        <v>41443.325601851851</v>
      </c>
    </row>
    <row r="87" spans="1:7" x14ac:dyDescent="0.25">
      <c r="A87" t="s">
        <v>306</v>
      </c>
      <c r="B87" t="str">
        <f>[1]!GetFolder(A87)</f>
        <v>C:\Program Files (x86)\Windows Kits\8.1\bin\x64</v>
      </c>
      <c r="C87" t="str">
        <f>[1]!GetFile(A87)</f>
        <v>witoansi.vbs</v>
      </c>
      <c r="D87">
        <v>1989</v>
      </c>
      <c r="E87" s="6">
        <v>42377.974502314813</v>
      </c>
      <c r="F87" s="6">
        <v>41443.325624999998</v>
      </c>
      <c r="G87" s="6">
        <v>41443.325624999998</v>
      </c>
    </row>
    <row r="88" spans="1:7" x14ac:dyDescent="0.25">
      <c r="A88" t="s">
        <v>305</v>
      </c>
      <c r="B88" t="str">
        <f>[1]!GetFolder(A88)</f>
        <v>C:\Program Files (x86)\Windows Kits\8.1\bin\x64</v>
      </c>
      <c r="C88" t="str">
        <f>[1]!GetFile(A88)</f>
        <v>wiusexfm.vbs</v>
      </c>
      <c r="D88">
        <v>2822</v>
      </c>
      <c r="E88" s="6">
        <v>42377.974502314813</v>
      </c>
      <c r="F88" s="6">
        <v>41443.325624999998</v>
      </c>
      <c r="G88" s="6">
        <v>41443.325624999998</v>
      </c>
    </row>
    <row r="89" spans="1:7" x14ac:dyDescent="0.25">
      <c r="A89" t="s">
        <v>304</v>
      </c>
      <c r="B89" t="str">
        <f>[1]!GetFolder(A89)</f>
        <v>C:\Program Files (x86)\Windows Kits\8.1\bin\x86</v>
      </c>
      <c r="C89" t="str">
        <f>[1]!GetFile(A89)</f>
        <v>register_app.vbs</v>
      </c>
      <c r="D89">
        <v>10946</v>
      </c>
      <c r="E89" s="6">
        <v>42377.97457175926</v>
      </c>
      <c r="F89" s="6">
        <v>41443.256550925929</v>
      </c>
      <c r="G89" s="6">
        <v>41443.256550925929</v>
      </c>
    </row>
    <row r="90" spans="1:7" x14ac:dyDescent="0.25">
      <c r="A90" t="s">
        <v>303</v>
      </c>
      <c r="B90" t="str">
        <f>[1]!GetFolder(A90)</f>
        <v>C:\Program Files (x86)\Windows Kits\8.1\bin\x86</v>
      </c>
      <c r="C90" t="str">
        <f>[1]!GetFile(A90)</f>
        <v>WiCompon.vbs</v>
      </c>
      <c r="D90">
        <v>8705</v>
      </c>
      <c r="E90" s="6">
        <v>42377.974583333336</v>
      </c>
      <c r="F90" s="6">
        <v>41443.225347222222</v>
      </c>
      <c r="G90" s="6">
        <v>41443.225347222222</v>
      </c>
    </row>
    <row r="91" spans="1:7" x14ac:dyDescent="0.25">
      <c r="A91" t="s">
        <v>302</v>
      </c>
      <c r="B91" t="str">
        <f>[1]!GetFolder(A91)</f>
        <v>C:\Program Files (x86)\Windows Kits\8.1\bin\x86</v>
      </c>
      <c r="C91" t="str">
        <f>[1]!GetFile(A91)</f>
        <v>widialog.vbs</v>
      </c>
      <c r="D91">
        <v>4252</v>
      </c>
      <c r="E91" s="6">
        <v>42377.974583333336</v>
      </c>
      <c r="F91" s="6">
        <v>41443.225347222222</v>
      </c>
      <c r="G91" s="6">
        <v>41443.225347222222</v>
      </c>
    </row>
    <row r="92" spans="1:7" x14ac:dyDescent="0.25">
      <c r="A92" t="s">
        <v>301</v>
      </c>
      <c r="B92" t="str">
        <f>[1]!GetFolder(A92)</f>
        <v>C:\Program Files (x86)\Windows Kits\8.1\bin\x86</v>
      </c>
      <c r="C92" t="str">
        <f>[1]!GetFile(A92)</f>
        <v>widiffdb.vbs</v>
      </c>
      <c r="D92">
        <v>4832</v>
      </c>
      <c r="E92" s="6">
        <v>42377.974583333336</v>
      </c>
      <c r="F92" s="6">
        <v>41443.225347222222</v>
      </c>
      <c r="G92" s="6">
        <v>41443.225347222222</v>
      </c>
    </row>
    <row r="93" spans="1:7" x14ac:dyDescent="0.25">
      <c r="A93" t="s">
        <v>300</v>
      </c>
      <c r="B93" t="str">
        <f>[1]!GetFolder(A93)</f>
        <v>C:\Program Files (x86)\Windows Kits\8.1\bin\x86</v>
      </c>
      <c r="C93" t="str">
        <f>[1]!GetFile(A93)</f>
        <v>wiexport.vbs</v>
      </c>
      <c r="D93">
        <v>2837</v>
      </c>
      <c r="E93" s="6">
        <v>42377.974583333336</v>
      </c>
      <c r="F93" s="6">
        <v>41443.225347222222</v>
      </c>
      <c r="G93" s="6">
        <v>41443.225347222222</v>
      </c>
    </row>
    <row r="94" spans="1:7" x14ac:dyDescent="0.25">
      <c r="A94" t="s">
        <v>299</v>
      </c>
      <c r="B94" t="str">
        <f>[1]!GetFolder(A94)</f>
        <v>C:\Program Files (x86)\Windows Kits\8.1\bin\x86</v>
      </c>
      <c r="C94" t="str">
        <f>[1]!GetFile(A94)</f>
        <v>wifeatur.vbs</v>
      </c>
      <c r="D94">
        <v>8232</v>
      </c>
      <c r="E94" s="6">
        <v>42377.974583333336</v>
      </c>
      <c r="F94" s="6">
        <v>41443.225347222222</v>
      </c>
      <c r="G94" s="6">
        <v>41443.225347222222</v>
      </c>
    </row>
    <row r="95" spans="1:7" x14ac:dyDescent="0.25">
      <c r="A95" t="s">
        <v>298</v>
      </c>
      <c r="B95" t="str">
        <f>[1]!GetFolder(A95)</f>
        <v>C:\Program Files (x86)\Windows Kits\8.1\bin\x86</v>
      </c>
      <c r="C95" t="str">
        <f>[1]!GetFile(A95)</f>
        <v>wifilver.vbs</v>
      </c>
      <c r="D95">
        <v>10967</v>
      </c>
      <c r="E95" s="6">
        <v>42377.974583333336</v>
      </c>
      <c r="F95" s="6">
        <v>41443.225347222222</v>
      </c>
      <c r="G95" s="6">
        <v>41443.225347222222</v>
      </c>
    </row>
    <row r="96" spans="1:7" x14ac:dyDescent="0.25">
      <c r="A96" t="s">
        <v>297</v>
      </c>
      <c r="B96" t="str">
        <f>[1]!GetFolder(A96)</f>
        <v>C:\Program Files (x86)\Windows Kits\8.1\bin\x86</v>
      </c>
      <c r="C96" t="str">
        <f>[1]!GetFile(A96)</f>
        <v>wigenxfm.vbs</v>
      </c>
      <c r="D96">
        <v>2186</v>
      </c>
      <c r="E96" s="6">
        <v>42377.974583333336</v>
      </c>
      <c r="F96" s="6">
        <v>41443.225347222222</v>
      </c>
      <c r="G96" s="6">
        <v>41443.225347222222</v>
      </c>
    </row>
    <row r="97" spans="1:7" x14ac:dyDescent="0.25">
      <c r="A97" t="s">
        <v>296</v>
      </c>
      <c r="B97" t="str">
        <f>[1]!GetFolder(A97)</f>
        <v>C:\Program Files (x86)\Windows Kits\8.1\bin\x86</v>
      </c>
      <c r="C97" t="str">
        <f>[1]!GetFile(A97)</f>
        <v>wiimport.vbs</v>
      </c>
      <c r="D97">
        <v>3472</v>
      </c>
      <c r="E97" s="6">
        <v>42377.974583333336</v>
      </c>
      <c r="F97" s="6">
        <v>41443.225347222222</v>
      </c>
      <c r="G97" s="6">
        <v>41443.225347222222</v>
      </c>
    </row>
    <row r="98" spans="1:7" x14ac:dyDescent="0.25">
      <c r="A98" t="s">
        <v>295</v>
      </c>
      <c r="B98" t="str">
        <f>[1]!GetFolder(A98)</f>
        <v>C:\Program Files (x86)\Windows Kits\8.1\bin\x86</v>
      </c>
      <c r="C98" t="str">
        <f>[1]!GetFile(A98)</f>
        <v>wilangid.vbs</v>
      </c>
      <c r="D98">
        <v>7448</v>
      </c>
      <c r="E98" s="6">
        <v>42377.974583333336</v>
      </c>
      <c r="F98" s="6">
        <v>41443.225347222222</v>
      </c>
      <c r="G98" s="6">
        <v>41443.225347222222</v>
      </c>
    </row>
    <row r="99" spans="1:7" x14ac:dyDescent="0.25">
      <c r="A99" t="s">
        <v>294</v>
      </c>
      <c r="B99" t="str">
        <f>[1]!GetFolder(A99)</f>
        <v>C:\Program Files (x86)\Windows Kits\8.1\bin\x86</v>
      </c>
      <c r="C99" t="str">
        <f>[1]!GetFile(A99)</f>
        <v>wilstprd.vbs</v>
      </c>
      <c r="D99">
        <v>7637</v>
      </c>
      <c r="E99" s="6">
        <v>42377.974583333336</v>
      </c>
      <c r="F99" s="6">
        <v>41443.225347222222</v>
      </c>
      <c r="G99" s="6">
        <v>41443.225347222222</v>
      </c>
    </row>
    <row r="100" spans="1:7" x14ac:dyDescent="0.25">
      <c r="A100" t="s">
        <v>293</v>
      </c>
      <c r="B100" t="str">
        <f>[1]!GetFolder(A100)</f>
        <v>C:\Program Files (x86)\Windows Kits\8.1\bin\x86</v>
      </c>
      <c r="C100" t="str">
        <f>[1]!GetFile(A100)</f>
        <v>wilstscr.vbs</v>
      </c>
      <c r="D100">
        <v>2467</v>
      </c>
      <c r="E100" s="6">
        <v>42377.974583333336</v>
      </c>
      <c r="F100" s="6">
        <v>41443.225347222222</v>
      </c>
      <c r="G100" s="6">
        <v>41443.225347222222</v>
      </c>
    </row>
    <row r="101" spans="1:7" x14ac:dyDescent="0.25">
      <c r="A101" t="s">
        <v>292</v>
      </c>
      <c r="B101" t="str">
        <f>[1]!GetFolder(A101)</f>
        <v>C:\Program Files (x86)\Windows Kits\8.1\bin\x86</v>
      </c>
      <c r="C101" t="str">
        <f>[1]!GetFile(A101)</f>
        <v>wilstxfm.vbs</v>
      </c>
      <c r="D101">
        <v>4178</v>
      </c>
      <c r="E101" s="6">
        <v>42377.974583333336</v>
      </c>
      <c r="F101" s="6">
        <v>41443.225347222222</v>
      </c>
      <c r="G101" s="6">
        <v>41443.225347222222</v>
      </c>
    </row>
    <row r="102" spans="1:7" x14ac:dyDescent="0.25">
      <c r="A102" t="s">
        <v>291</v>
      </c>
      <c r="B102" t="str">
        <f>[1]!GetFolder(A102)</f>
        <v>C:\Program Files (x86)\Windows Kits\8.1\bin\x86</v>
      </c>
      <c r="C102" t="str">
        <f>[1]!GetFile(A102)</f>
        <v>wimakcab.vbs</v>
      </c>
      <c r="D102">
        <v>12573</v>
      </c>
      <c r="E102" s="6">
        <v>42377.974583333336</v>
      </c>
      <c r="F102" s="6">
        <v>41443.225347222222</v>
      </c>
      <c r="G102" s="6">
        <v>41443.225347222222</v>
      </c>
    </row>
    <row r="103" spans="1:7" x14ac:dyDescent="0.25">
      <c r="A103" t="s">
        <v>290</v>
      </c>
      <c r="B103" t="str">
        <f>[1]!GetFolder(A103)</f>
        <v>C:\Program Files (x86)\Windows Kits\8.1\bin\x86</v>
      </c>
      <c r="C103" t="str">
        <f>[1]!GetFile(A103)</f>
        <v>wimerge.vbs</v>
      </c>
      <c r="D103">
        <v>3098</v>
      </c>
      <c r="E103" s="6">
        <v>42377.974583333336</v>
      </c>
      <c r="F103" s="6">
        <v>41443.225347222222</v>
      </c>
      <c r="G103" s="6">
        <v>41443.225347222222</v>
      </c>
    </row>
    <row r="104" spans="1:7" x14ac:dyDescent="0.25">
      <c r="A104" t="s">
        <v>289</v>
      </c>
      <c r="B104" t="str">
        <f>[1]!GetFolder(A104)</f>
        <v>C:\Program Files (x86)\Windows Kits\8.1\bin\x86</v>
      </c>
      <c r="C104" t="str">
        <f>[1]!GetFile(A104)</f>
        <v>wipolicy.vbs</v>
      </c>
      <c r="D104">
        <v>8505</v>
      </c>
      <c r="E104" s="6">
        <v>42377.974583333336</v>
      </c>
      <c r="F104" s="6">
        <v>41443.225347222222</v>
      </c>
      <c r="G104" s="6">
        <v>41443.225347222222</v>
      </c>
    </row>
    <row r="105" spans="1:7" x14ac:dyDescent="0.25">
      <c r="A105" t="s">
        <v>288</v>
      </c>
      <c r="B105" t="str">
        <f>[1]!GetFolder(A105)</f>
        <v>C:\Program Files (x86)\Windows Kits\8.1\bin\x86</v>
      </c>
      <c r="C105" t="str">
        <f>[1]!GetFile(A105)</f>
        <v>wirunsql.vbs</v>
      </c>
      <c r="D105">
        <v>3125</v>
      </c>
      <c r="E105" s="6">
        <v>42377.974583333336</v>
      </c>
      <c r="F105" s="6">
        <v>41443.225347222222</v>
      </c>
      <c r="G105" s="6">
        <v>41443.225347222222</v>
      </c>
    </row>
    <row r="106" spans="1:7" x14ac:dyDescent="0.25">
      <c r="A106" t="s">
        <v>287</v>
      </c>
      <c r="B106" t="str">
        <f>[1]!GetFolder(A106)</f>
        <v>C:\Program Files (x86)\Windows Kits\8.1\bin\x86</v>
      </c>
      <c r="C106" t="str">
        <f>[1]!GetFile(A106)</f>
        <v>wistream.vbs</v>
      </c>
      <c r="D106">
        <v>4813</v>
      </c>
      <c r="E106" s="6">
        <v>42377.974583333336</v>
      </c>
      <c r="F106" s="6">
        <v>41443.225347222222</v>
      </c>
      <c r="G106" s="6">
        <v>41443.225347222222</v>
      </c>
    </row>
    <row r="107" spans="1:7" x14ac:dyDescent="0.25">
      <c r="A107" t="s">
        <v>286</v>
      </c>
      <c r="B107" t="str">
        <f>[1]!GetFolder(A107)</f>
        <v>C:\Program Files (x86)\Windows Kits\8.1\bin\x86</v>
      </c>
      <c r="C107" t="str">
        <f>[1]!GetFile(A107)</f>
        <v>wisubstg.vbs</v>
      </c>
      <c r="D107">
        <v>4605</v>
      </c>
      <c r="E107" s="6">
        <v>42377.974583333336</v>
      </c>
      <c r="F107" s="6">
        <v>41443.225347222222</v>
      </c>
      <c r="G107" s="6">
        <v>41443.225347222222</v>
      </c>
    </row>
    <row r="108" spans="1:7" x14ac:dyDescent="0.25">
      <c r="A108" t="s">
        <v>285</v>
      </c>
      <c r="B108" t="str">
        <f>[1]!GetFolder(A108)</f>
        <v>C:\Program Files (x86)\Windows Kits\8.1\bin\x86</v>
      </c>
      <c r="C108" t="str">
        <f>[1]!GetFile(A108)</f>
        <v>wisuminf.vbs</v>
      </c>
      <c r="D108">
        <v>6401</v>
      </c>
      <c r="E108" s="6">
        <v>42377.974583333336</v>
      </c>
      <c r="F108" s="6">
        <v>41443.225347222222</v>
      </c>
      <c r="G108" s="6">
        <v>41443.225347222222</v>
      </c>
    </row>
    <row r="109" spans="1:7" x14ac:dyDescent="0.25">
      <c r="A109" t="s">
        <v>284</v>
      </c>
      <c r="B109" t="str">
        <f>[1]!GetFolder(A109)</f>
        <v>C:\Program Files (x86)\Windows Kits\8.1\bin\x86</v>
      </c>
      <c r="C109" t="str">
        <f>[1]!GetFile(A109)</f>
        <v>witextin.vbs</v>
      </c>
      <c r="D109">
        <v>3808</v>
      </c>
      <c r="E109" s="6">
        <v>42377.974583333336</v>
      </c>
      <c r="F109" s="6">
        <v>41443.225347222222</v>
      </c>
      <c r="G109" s="6">
        <v>41443.225347222222</v>
      </c>
    </row>
    <row r="110" spans="1:7" x14ac:dyDescent="0.25">
      <c r="A110" t="s">
        <v>283</v>
      </c>
      <c r="B110" t="str">
        <f>[1]!GetFolder(A110)</f>
        <v>C:\Program Files (x86)\Windows Kits\8.1\bin\x86</v>
      </c>
      <c r="C110" t="str">
        <f>[1]!GetFile(A110)</f>
        <v>witoansi.vbs</v>
      </c>
      <c r="D110">
        <v>1989</v>
      </c>
      <c r="E110" s="6">
        <v>42377.974583333336</v>
      </c>
      <c r="F110" s="6">
        <v>41443.225347222222</v>
      </c>
      <c r="G110" s="6">
        <v>41443.225347222222</v>
      </c>
    </row>
    <row r="111" spans="1:7" x14ac:dyDescent="0.25">
      <c r="A111" t="s">
        <v>282</v>
      </c>
      <c r="B111" t="str">
        <f>[1]!GetFolder(A111)</f>
        <v>C:\Program Files (x86)\Windows Kits\8.1\bin\x86</v>
      </c>
      <c r="C111" t="str">
        <f>[1]!GetFile(A111)</f>
        <v>wiusexfm.vbs</v>
      </c>
      <c r="D111">
        <v>2822</v>
      </c>
      <c r="E111" s="6">
        <v>42377.974583333336</v>
      </c>
      <c r="F111" s="6">
        <v>41443.225347222222</v>
      </c>
      <c r="G111" s="6">
        <v>41443.225347222222</v>
      </c>
    </row>
    <row r="112" spans="1:7" x14ac:dyDescent="0.25">
      <c r="A112" t="s">
        <v>281</v>
      </c>
      <c r="B112" t="str">
        <f>[1]!GetFolder(A112)</f>
        <v>C:\Users\DAVE\Documents\Programming\Classic_ASP_Review\scripts</v>
      </c>
      <c r="C112" t="str">
        <f>[1]!GetFile(A112)</f>
        <v>WebApplication1_Solution_Elevated.VBS</v>
      </c>
      <c r="D112">
        <v>384</v>
      </c>
      <c r="E112" s="6">
        <v>42393.880416666667</v>
      </c>
      <c r="F112" s="6">
        <v>42362.780300925922</v>
      </c>
      <c r="G112" s="6">
        <v>42362.778379629628</v>
      </c>
    </row>
    <row r="113" spans="1:7" x14ac:dyDescent="0.25">
      <c r="A113" t="s">
        <v>280</v>
      </c>
      <c r="B113" t="str">
        <f>[1]!GetFolder(A113)</f>
        <v>C:\Users\DAVE\Documents\Programming\CMD\WWSetVBS</v>
      </c>
      <c r="C113" t="str">
        <f>[1]!GetFile(A113)</f>
        <v>WWWhichEngine.VBS</v>
      </c>
      <c r="D113">
        <v>2239</v>
      </c>
      <c r="E113" s="6">
        <v>42535.010266203702</v>
      </c>
      <c r="F113" s="6">
        <v>40300.744699074072</v>
      </c>
      <c r="G113" s="6">
        <v>41883.582106481481</v>
      </c>
    </row>
    <row r="114" spans="1:7" x14ac:dyDescent="0.25">
      <c r="A114" t="s">
        <v>279</v>
      </c>
      <c r="B114" t="str">
        <f>[1]!GetFolder(A114)</f>
        <v>C:\Users\DAVE\Documents\Programming\CMD\XCOPY_InUse_File\REFERENCE\ElevationToolkit1</v>
      </c>
      <c r="C114" t="str">
        <f>[1]!GetFile(A114)</f>
        <v>TestElevation.vbs</v>
      </c>
      <c r="D114">
        <v>1867</v>
      </c>
      <c r="E114" s="6">
        <v>42535.010266203702</v>
      </c>
      <c r="F114" s="6">
        <v>40289.552291666667</v>
      </c>
      <c r="G114" s="6">
        <v>41883.582106481481</v>
      </c>
    </row>
    <row r="115" spans="1:7" x14ac:dyDescent="0.25">
      <c r="A115" t="s">
        <v>278</v>
      </c>
      <c r="B115" t="str">
        <f>[1]!GetFolder(A115)</f>
        <v>C:\Users\DAVE\Documents\Programming\VBScript</v>
      </c>
      <c r="C115" t="str">
        <f>[1]!GetFile(A115)</f>
        <v>Common.vbs</v>
      </c>
      <c r="D115">
        <v>39084</v>
      </c>
      <c r="E115" s="6">
        <v>42623.795138888891</v>
      </c>
      <c r="F115" s="6">
        <v>42344.743611111109</v>
      </c>
      <c r="G115" s="6">
        <v>42344.743530092594</v>
      </c>
    </row>
    <row r="116" spans="1:7" x14ac:dyDescent="0.25">
      <c r="A116" t="s">
        <v>277</v>
      </c>
      <c r="B116" t="str">
        <f>[1]!GetFolder(A116)</f>
        <v>C:\Users\DAVE\Documents\Programming\VBScript</v>
      </c>
      <c r="C116" t="str">
        <f>[1]!GetFile(A116)</f>
        <v>CreateFolder1.VBS</v>
      </c>
      <c r="D116">
        <v>260</v>
      </c>
      <c r="E116" s="6">
        <v>42378.000844907408</v>
      </c>
      <c r="F116" s="6">
        <v>42085.742685185185</v>
      </c>
      <c r="G116" s="6">
        <v>42085.742106481484</v>
      </c>
    </row>
    <row r="117" spans="1:7" x14ac:dyDescent="0.25">
      <c r="A117" t="s">
        <v>276</v>
      </c>
      <c r="B117" t="str">
        <f>[1]!GetFolder(A117)</f>
        <v>C:\Users\DAVE\Documents\Programming\VBScript</v>
      </c>
      <c r="C117" t="str">
        <f>[1]!GetFile(A117)</f>
        <v>GZip.vbs</v>
      </c>
      <c r="D117">
        <v>595</v>
      </c>
      <c r="E117" s="6">
        <v>42378.000844907408</v>
      </c>
      <c r="F117" s="6">
        <v>40159.200162037036</v>
      </c>
      <c r="G117" s="6">
        <v>41883.582187499997</v>
      </c>
    </row>
    <row r="118" spans="1:7" x14ac:dyDescent="0.25">
      <c r="A118" t="s">
        <v>275</v>
      </c>
      <c r="B118" t="str">
        <f>[1]!GetFolder(A118)</f>
        <v>C:\Users\DAVE\Documents\Programming\VBScript</v>
      </c>
      <c r="C118" t="str">
        <f>[1]!GetFile(A118)</f>
        <v>MakeShortcut.VBS</v>
      </c>
      <c r="D118">
        <v>23095</v>
      </c>
      <c r="E118" s="6">
        <v>42378.000844907408</v>
      </c>
      <c r="F118" s="6">
        <v>42269.087627314817</v>
      </c>
      <c r="G118" s="6">
        <v>42269.003518518519</v>
      </c>
    </row>
    <row r="119" spans="1:7" x14ac:dyDescent="0.25">
      <c r="A119" t="s">
        <v>274</v>
      </c>
      <c r="B119" t="str">
        <f>[1]!GetFolder(A119)</f>
        <v>C:\Users\DAVE\Documents\Programming\VBScript\BELogScan</v>
      </c>
      <c r="C119" t="str">
        <f>[1]!GetFile(A119)</f>
        <v>BELogScan.vbs</v>
      </c>
      <c r="D119">
        <v>4539</v>
      </c>
      <c r="E119" s="6">
        <v>42378.000856481478</v>
      </c>
      <c r="F119" s="6">
        <v>38710.851458333331</v>
      </c>
      <c r="G119" s="6">
        <v>41883.582199074073</v>
      </c>
    </row>
    <row r="120" spans="1:7" x14ac:dyDescent="0.25">
      <c r="A120" t="s">
        <v>273</v>
      </c>
      <c r="B120" t="str">
        <f>[1]!GetFolder(A120)</f>
        <v>C:\Users\DAVE\Documents\Programming\VBScript\DelTempFiles</v>
      </c>
      <c r="C120" t="str">
        <f>[1]!GetFile(A120)</f>
        <v>ParseTaggedArgs.VBS</v>
      </c>
      <c r="D120">
        <v>23067</v>
      </c>
      <c r="E120" s="6">
        <v>42378.000856481478</v>
      </c>
      <c r="F120" s="6">
        <v>40105.869143518517</v>
      </c>
      <c r="G120" s="6">
        <v>41883.582199074073</v>
      </c>
    </row>
    <row r="121" spans="1:7" x14ac:dyDescent="0.25">
      <c r="A121" t="s">
        <v>272</v>
      </c>
      <c r="B121" t="str">
        <f>[1]!GetFolder(A121)</f>
        <v>C:\Users\DAVE\Documents\Programming\VBScript\ExtractWinEvents</v>
      </c>
      <c r="C121" t="str">
        <f>[1]!GetFile(A121)</f>
        <v>ExtractWinEvents.VBS</v>
      </c>
      <c r="D121">
        <v>116500</v>
      </c>
      <c r="E121" s="6">
        <v>42378.000856481478</v>
      </c>
      <c r="F121" s="6">
        <v>40115.943287037036</v>
      </c>
      <c r="G121" s="6">
        <v>41883.582187499997</v>
      </c>
    </row>
    <row r="122" spans="1:7" x14ac:dyDescent="0.25">
      <c r="A122" t="s">
        <v>271</v>
      </c>
      <c r="B122" t="str">
        <f>[1]!GetFolder(A122)</f>
        <v>C:\Users\DAVE\Documents\Programming\VBScript\ExtractWinEvents\Formatting\TestCode</v>
      </c>
      <c r="C122" t="str">
        <f>[1]!GetFile(A122)</f>
        <v>ExtractWinEvents.VBS</v>
      </c>
      <c r="D122">
        <v>116500</v>
      </c>
      <c r="E122" s="6">
        <v>42378.000856481478</v>
      </c>
      <c r="F122" s="6">
        <v>40115.943287037036</v>
      </c>
      <c r="G122" s="6">
        <v>41883.582199074073</v>
      </c>
    </row>
    <row r="123" spans="1:7" x14ac:dyDescent="0.25">
      <c r="A123" t="s">
        <v>270</v>
      </c>
      <c r="B123" t="str">
        <f>[1]!GetFolder(A123)</f>
        <v>C:\Users\DAVE\Documents\Programming\VBScript\ParseTaggedArgs</v>
      </c>
      <c r="C123" t="str">
        <f>[1]!GetFile(A123)</f>
        <v>ParseTaggedArgs.VBS</v>
      </c>
      <c r="D123">
        <v>23067</v>
      </c>
      <c r="E123" s="6">
        <v>42378.000856481478</v>
      </c>
      <c r="F123" s="6">
        <v>40105.869143518517</v>
      </c>
      <c r="G123" s="6">
        <v>41883.582187499997</v>
      </c>
    </row>
    <row r="124" spans="1:7" x14ac:dyDescent="0.25">
      <c r="A124" t="s">
        <v>269</v>
      </c>
      <c r="B124" t="str">
        <f>[1]!GetFolder(A124)</f>
        <v>C:\Users\DAVE\Documents\Programming\VBScript\Recycle_Bin_Pruner</v>
      </c>
      <c r="C124" t="str">
        <f>[1]!GetFile(A124)</f>
        <v>Clear_Recycler_Bin_of_Iitems_Ove_X_Dday_Old.VBS</v>
      </c>
      <c r="D124">
        <v>2343</v>
      </c>
      <c r="E124" s="6">
        <v>42378.000856481478</v>
      </c>
      <c r="F124" s="6">
        <v>41382.440486111111</v>
      </c>
      <c r="G124" s="6">
        <v>41883.582187499997</v>
      </c>
    </row>
    <row r="125" spans="1:7" x14ac:dyDescent="0.25">
      <c r="A125" t="s">
        <v>268</v>
      </c>
      <c r="B125" t="str">
        <f>[1]!GetFolder(A125)</f>
        <v>C:\Users\DAVE\Documents\Programming\VBScript\SetDocProps</v>
      </c>
      <c r="C125" t="str">
        <f>[1]!GetFile(A125)</f>
        <v>SetMSODocProps.VBS</v>
      </c>
      <c r="D125">
        <v>27269</v>
      </c>
      <c r="E125" s="6">
        <v>42378.000856481478</v>
      </c>
      <c r="F125" s="6">
        <v>40035.442060185182</v>
      </c>
      <c r="G125" s="6">
        <v>41883.582187499997</v>
      </c>
    </row>
    <row r="126" spans="1:7" x14ac:dyDescent="0.25">
      <c r="A126" t="s">
        <v>267</v>
      </c>
      <c r="B126" t="str">
        <f>[1]!GetFolder(A126)</f>
        <v>C:\Users\DAVE\Documents\Programming\Visual_Studio_6\DLL\EventLogging\scripts</v>
      </c>
      <c r="C126" t="str">
        <f>[1]!GetFile(A126)</f>
        <v>ELARegistrar_Solution_Elevated.VBS</v>
      </c>
      <c r="D126">
        <v>363</v>
      </c>
      <c r="E126" s="6">
        <v>42452.968969907408</v>
      </c>
      <c r="F126" s="6">
        <v>42393.882673611108</v>
      </c>
      <c r="G126" s="6">
        <v>42393.881712962961</v>
      </c>
    </row>
    <row r="127" spans="1:7" x14ac:dyDescent="0.25">
      <c r="A127" t="s">
        <v>266</v>
      </c>
      <c r="B127" t="str">
        <f>[1]!GetFolder(A127)</f>
        <v>C:\Users\DAVE\Documents\Programming\WinBatch_Studio\Retired\2007TZFIX\scripts</v>
      </c>
      <c r="C127" t="str">
        <f>[1]!GetFile(A127)</f>
        <v>refreshTZinfo.vbs</v>
      </c>
      <c r="D127">
        <v>7642</v>
      </c>
      <c r="E127" s="6">
        <v>42378.003645833334</v>
      </c>
      <c r="F127" s="6">
        <v>39146.770092592589</v>
      </c>
      <c r="G127" s="6">
        <v>41883.583541666667</v>
      </c>
    </row>
    <row r="128" spans="1:7" x14ac:dyDescent="0.25">
      <c r="A128" t="s">
        <v>265</v>
      </c>
      <c r="B128" t="str">
        <f>[1]!GetFolder(A128)</f>
        <v>C:\Users\DAVE\OneDrive\OneDrive - Simple Soft Services, Inc\REFERENCE\NTFS Streams and Hard Links</v>
      </c>
      <c r="C128" t="str">
        <f>[1]!GetFile(A128)</f>
        <v>HardLinks.vbs</v>
      </c>
      <c r="D128">
        <v>3018</v>
      </c>
      <c r="E128" s="6">
        <v>42598.075208333335</v>
      </c>
      <c r="F128" s="6">
        <v>42323.848437499997</v>
      </c>
      <c r="G128" s="6">
        <v>42532.720092592594</v>
      </c>
    </row>
    <row r="129" spans="1:7" x14ac:dyDescent="0.25">
      <c r="A129" t="s">
        <v>264</v>
      </c>
      <c r="B129" t="str">
        <f>[1]!GetFolder(A129)</f>
        <v>C:\Users\DAVE\OneDrive\OneDrive - Simple Soft Services, Inc\REFERENCE\NTFS Streams and Hard Links</v>
      </c>
      <c r="C129" t="str">
        <f>[1]!GetFile(A129)</f>
        <v>RWStream.vbs</v>
      </c>
      <c r="D129">
        <v>3026</v>
      </c>
      <c r="E129" s="6">
        <v>42598.075208333335</v>
      </c>
      <c r="F129" s="6">
        <v>42323.848449074074</v>
      </c>
      <c r="G129" s="6">
        <v>42532.719421296293</v>
      </c>
    </row>
    <row r="130" spans="1:7" x14ac:dyDescent="0.25">
      <c r="A130" t="s">
        <v>263</v>
      </c>
      <c r="B130" t="str">
        <f>[1]!GetFolder(A130)</f>
        <v>C:\Users\DAVE\OneDrive\REFERENCE\BASIC</v>
      </c>
      <c r="C130" t="str">
        <f>[1]!GetFile(A130)</f>
        <v>Common.vbs</v>
      </c>
      <c r="D130">
        <v>39084</v>
      </c>
      <c r="E130" s="6">
        <v>42623.79515046296</v>
      </c>
      <c r="F130" s="6">
        <v>42344.743611111109</v>
      </c>
      <c r="G130" s="6">
        <v>42344.743530092594</v>
      </c>
    </row>
    <row r="131" spans="1:7" x14ac:dyDescent="0.25">
      <c r="A131" t="s">
        <v>262</v>
      </c>
      <c r="B131" t="str">
        <f>[1]!GetFolder(A131)</f>
        <v>C:\Users\DAVE\OneDrive\REFERENCE\HTML\IEspy_src</v>
      </c>
      <c r="C131" t="str">
        <f>[1]!GetFile(A131)</f>
        <v>IEspy.vbs</v>
      </c>
      <c r="D131">
        <v>31254</v>
      </c>
      <c r="E131" s="6">
        <v>42598.076192129629</v>
      </c>
      <c r="F131" s="6">
        <v>38141.685486111113</v>
      </c>
      <c r="G131" s="6">
        <v>41928.598692129628</v>
      </c>
    </row>
    <row r="132" spans="1:7" x14ac:dyDescent="0.25">
      <c r="A132" t="s">
        <v>261</v>
      </c>
      <c r="B132" t="str">
        <f>[1]!GetFolder(A132)</f>
        <v>C:\Users\DAVE\OneDrive\REFERENCE\HTML\IEspy_src</v>
      </c>
      <c r="C132" t="str">
        <f>[1]!GetFile(A132)</f>
        <v>IEspy_Network.vbs</v>
      </c>
      <c r="D132">
        <v>21296</v>
      </c>
      <c r="E132" s="6">
        <v>42598.076192129629</v>
      </c>
      <c r="F132" s="6">
        <v>38141.685671296298</v>
      </c>
      <c r="G132" s="6">
        <v>41928.598692129628</v>
      </c>
    </row>
    <row r="133" spans="1:7" x14ac:dyDescent="0.25">
      <c r="A133" t="s">
        <v>260</v>
      </c>
      <c r="B133" t="str">
        <f>[1]!GetFolder(A133)</f>
        <v>C:\Users\DAVE\OneDrive\REFERENCE\NTFS Streams and Hard Links</v>
      </c>
      <c r="C133" t="str">
        <f>[1]!GetFile(A133)</f>
        <v>HardLinks.vbs</v>
      </c>
      <c r="D133">
        <v>3018</v>
      </c>
      <c r="E133" s="6">
        <v>42597.966886574075</v>
      </c>
      <c r="F133" s="6">
        <v>36560.749236111114</v>
      </c>
      <c r="G133" s="6">
        <v>41928.599074074074</v>
      </c>
    </row>
    <row r="134" spans="1:7" x14ac:dyDescent="0.25">
      <c r="A134" t="s">
        <v>259</v>
      </c>
      <c r="B134" t="str">
        <f>[1]!GetFolder(A134)</f>
        <v>C:\Users\DAVE\OneDrive\REFERENCE\NTFS Streams and Hard Links</v>
      </c>
      <c r="C134" t="str">
        <f>[1]!GetFile(A134)</f>
        <v>RWStream.vbs</v>
      </c>
      <c r="D134">
        <v>3026</v>
      </c>
      <c r="E134" s="6">
        <v>42597.966898148145</v>
      </c>
      <c r="F134" s="6">
        <v>36560.147523148145</v>
      </c>
      <c r="G134" s="6">
        <v>41928.599074074074</v>
      </c>
    </row>
    <row r="135" spans="1:7" x14ac:dyDescent="0.25">
      <c r="A135" t="s">
        <v>258</v>
      </c>
      <c r="B135" t="str">
        <f>[1]!GetFolder(A135)</f>
        <v>C:\Users\DAVE\OneDrive\REFERENCE\NTFS Streams and Hard Links\StrmExt\ReleaseMinDependency</v>
      </c>
      <c r="C135" t="str">
        <f>[1]!GetFile(A135)</f>
        <v>HardLinks.vbs</v>
      </c>
      <c r="D135">
        <v>3018</v>
      </c>
      <c r="E135" s="6">
        <v>42598.08021990741</v>
      </c>
      <c r="F135" s="6">
        <v>36560.749236111114</v>
      </c>
      <c r="G135" s="6">
        <v>41928.599074074074</v>
      </c>
    </row>
    <row r="136" spans="1:7" x14ac:dyDescent="0.25">
      <c r="A136" t="s">
        <v>257</v>
      </c>
      <c r="B136" t="str">
        <f>[1]!GetFolder(A136)</f>
        <v>C:\Users\DAVE\OneDrive\REFERENCE\NTFS Streams and Hard Links\StrmExt\ReleaseMinDependency</v>
      </c>
      <c r="C136" t="str">
        <f>[1]!GetFile(A136)</f>
        <v>RWStream.vbs</v>
      </c>
      <c r="D136">
        <v>3026</v>
      </c>
      <c r="E136" s="6">
        <v>42598.08021990741</v>
      </c>
      <c r="F136" s="6">
        <v>36560.147523148145</v>
      </c>
      <c r="G136" s="6">
        <v>41928.599074074074</v>
      </c>
    </row>
    <row r="137" spans="1:7" x14ac:dyDescent="0.25">
      <c r="A137" t="s">
        <v>256</v>
      </c>
      <c r="B137" t="str">
        <f>[1]!GetFolder(A137)</f>
        <v>C:\Users\DAVE\OneDrive\REFERENCE\PKZIP_ERROR_TRAPPING</v>
      </c>
      <c r="C137" t="str">
        <f>[1]!GetFile(A137)</f>
        <v>focus.vbs</v>
      </c>
      <c r="D137">
        <v>482</v>
      </c>
      <c r="E137" s="6">
        <v>42597.96770833333</v>
      </c>
      <c r="F137" s="6">
        <v>39675.739282407405</v>
      </c>
      <c r="G137" s="6">
        <v>41928.599293981482</v>
      </c>
    </row>
    <row r="138" spans="1:7" x14ac:dyDescent="0.25">
      <c r="A138" t="s">
        <v>255</v>
      </c>
      <c r="B138" t="str">
        <f>[1]!GetFolder(A138)</f>
        <v>C:\Users\DAVE\OneDrive\REFERENCE\PKZIP_ERROR_TRAPPING</v>
      </c>
      <c r="C138" t="str">
        <f>[1]!GetFile(A138)</f>
        <v>regopen.vbs</v>
      </c>
      <c r="D138">
        <v>382</v>
      </c>
      <c r="E138" s="6">
        <v>42597.967777777776</v>
      </c>
      <c r="F138" s="6">
        <v>39675.738263888888</v>
      </c>
      <c r="G138" s="6">
        <v>41928.599293981482</v>
      </c>
    </row>
    <row r="139" spans="1:7" x14ac:dyDescent="0.25">
      <c r="A139" t="s">
        <v>254</v>
      </c>
      <c r="B139" t="str">
        <f>[1]!GetFolder(A139)</f>
        <v>C:\Users\DAVE\OneDrive\REFERENCE\Registry_Hacks_to_Review</v>
      </c>
      <c r="C139" t="str">
        <f>[1]!GetFile(A139)</f>
        <v>accountsid.vbs</v>
      </c>
      <c r="D139">
        <v>329</v>
      </c>
      <c r="E139" s="6">
        <v>42597.967905092592</v>
      </c>
      <c r="F139" s="6">
        <v>39675.720347222225</v>
      </c>
      <c r="G139" s="6">
        <v>41928.599386574075</v>
      </c>
    </row>
    <row r="140" spans="1:7" x14ac:dyDescent="0.25">
      <c r="A140" t="s">
        <v>253</v>
      </c>
      <c r="B140" t="str">
        <f>[1]!GetFolder(A140)</f>
        <v>C:\Users\DAVE\OneDrive\REFERENCE\Registry_Hacks_to_Review</v>
      </c>
      <c r="C140" t="str">
        <f>[1]!GetFile(A140)</f>
        <v>alwayshideext.vbs</v>
      </c>
      <c r="D140">
        <v>827</v>
      </c>
      <c r="E140" s="6">
        <v>42597.967905092592</v>
      </c>
      <c r="F140" s="6">
        <v>39675.721134259256</v>
      </c>
      <c r="G140" s="6">
        <v>41928.599386574075</v>
      </c>
    </row>
    <row r="141" spans="1:7" x14ac:dyDescent="0.25">
      <c r="A141" t="s">
        <v>252</v>
      </c>
      <c r="B141" t="str">
        <f>[1]!GetFolder(A141)</f>
        <v>C:\Users\DAVE\OneDrive\REFERENCE\Registry_Hacks_to_Review</v>
      </c>
      <c r="C141" t="str">
        <f>[1]!GetFile(A141)</f>
        <v>changedefaultdir.vbs</v>
      </c>
      <c r="D141">
        <v>400</v>
      </c>
      <c r="E141" s="6">
        <v>42597.967905092592</v>
      </c>
      <c r="F141" s="6">
        <v>39675.741828703707</v>
      </c>
      <c r="G141" s="6">
        <v>41928.599386574075</v>
      </c>
    </row>
    <row r="142" spans="1:7" x14ac:dyDescent="0.25">
      <c r="A142" t="s">
        <v>251</v>
      </c>
      <c r="B142" t="str">
        <f>[1]!GetFolder(A142)</f>
        <v>C:\Users\DAVE\OneDrive\REFERENCE\Registry_Hacks_to_Review</v>
      </c>
      <c r="C142" t="str">
        <f>[1]!GetFile(A142)</f>
        <v>changeownerorg.vbs</v>
      </c>
      <c r="D142">
        <v>714</v>
      </c>
      <c r="E142" s="6">
        <v>42597.967905092592</v>
      </c>
      <c r="F142" s="6">
        <v>39675.734837962962</v>
      </c>
      <c r="G142" s="6">
        <v>41928.599386574075</v>
      </c>
    </row>
    <row r="143" spans="1:7" x14ac:dyDescent="0.25">
      <c r="A143" t="s">
        <v>250</v>
      </c>
      <c r="B143" t="str">
        <f>[1]!GetFolder(A143)</f>
        <v>C:\Users\DAVE\OneDrive\REFERENCE\Registry_Hacks_to_Review</v>
      </c>
      <c r="C143" t="str">
        <f>[1]!GetFile(A143)</f>
        <v>changess.vbs</v>
      </c>
      <c r="D143">
        <v>454</v>
      </c>
      <c r="E143" s="6">
        <v>42597.967905092592</v>
      </c>
      <c r="F143" s="6">
        <v>39675.754907407405</v>
      </c>
      <c r="G143" s="6">
        <v>41928.599386574075</v>
      </c>
    </row>
    <row r="144" spans="1:7" x14ac:dyDescent="0.25">
      <c r="A144" t="s">
        <v>249</v>
      </c>
      <c r="B144" t="str">
        <f>[1]!GetFolder(A144)</f>
        <v>C:\Users\DAVE\OneDrive\REFERENCE\Registry_Hacks_to_Review</v>
      </c>
      <c r="C144" t="str">
        <f>[1]!GetFile(A144)</f>
        <v>clipboardreader.vbs</v>
      </c>
      <c r="D144">
        <v>300</v>
      </c>
      <c r="E144" s="6">
        <v>42597.967916666668</v>
      </c>
      <c r="F144" s="6">
        <v>39675.719444444447</v>
      </c>
      <c r="G144" s="6">
        <v>41928.599386574075</v>
      </c>
    </row>
    <row r="145" spans="1:7" x14ac:dyDescent="0.25">
      <c r="A145" t="s">
        <v>248</v>
      </c>
      <c r="B145" t="str">
        <f>[1]!GetFolder(A145)</f>
        <v>C:\Users\DAVE\OneDrive\REFERENCE\Registry_Hacks_to_Review</v>
      </c>
      <c r="C145" t="str">
        <f>[1]!GetFile(A145)</f>
        <v>compactcheck.vbs</v>
      </c>
      <c r="D145">
        <v>1456</v>
      </c>
      <c r="E145" s="6">
        <v>42597.967916666668</v>
      </c>
      <c r="F145" s="6">
        <v>39675.730810185189</v>
      </c>
      <c r="G145" s="6">
        <v>41928.599386574075</v>
      </c>
    </row>
    <row r="146" spans="1:7" x14ac:dyDescent="0.25">
      <c r="A146" t="s">
        <v>247</v>
      </c>
      <c r="B146" t="str">
        <f>[1]!GetFolder(A146)</f>
        <v>C:\Users\DAVE\OneDrive\REFERENCE\Registry_Hacks_to_Review</v>
      </c>
      <c r="C146" t="str">
        <f>[1]!GetFile(A146)</f>
        <v>favdisable.vbs</v>
      </c>
      <c r="D146">
        <v>480</v>
      </c>
      <c r="E146" s="6">
        <v>42597.967928240738</v>
      </c>
      <c r="F146" s="6">
        <v>39675.740185185183</v>
      </c>
      <c r="G146" s="6">
        <v>41928.599386574075</v>
      </c>
    </row>
    <row r="147" spans="1:7" x14ac:dyDescent="0.25">
      <c r="A147" t="s">
        <v>246</v>
      </c>
      <c r="B147" t="str">
        <f>[1]!GetFolder(A147)</f>
        <v>C:\Users\DAVE\OneDrive\REFERENCE\Registry_Hacks_to_Review</v>
      </c>
      <c r="C147" t="str">
        <f>[1]!GetFile(A147)</f>
        <v>favmenus.vbs</v>
      </c>
      <c r="D147">
        <v>480</v>
      </c>
      <c r="E147" s="6">
        <v>42597.967928240738</v>
      </c>
      <c r="F147" s="6">
        <v>39675.740277777775</v>
      </c>
      <c r="G147" s="6">
        <v>41928.599386574075</v>
      </c>
    </row>
    <row r="148" spans="1:7" x14ac:dyDescent="0.25">
      <c r="A148" t="s">
        <v>245</v>
      </c>
      <c r="B148" t="str">
        <f>[1]!GetFolder(A148)</f>
        <v>C:\Users\DAVE\OneDrive\REFERENCE\Registry_Hacks_to_Review</v>
      </c>
      <c r="C148" t="str">
        <f>[1]!GetFile(A148)</f>
        <v>focus.vbs</v>
      </c>
      <c r="D148">
        <v>482</v>
      </c>
      <c r="E148" s="6">
        <v>42597.967928240738</v>
      </c>
      <c r="F148" s="6">
        <v>39675.739282407405</v>
      </c>
      <c r="G148" s="6">
        <v>41928.599386574075</v>
      </c>
    </row>
    <row r="149" spans="1:7" x14ac:dyDescent="0.25">
      <c r="A149" t="s">
        <v>244</v>
      </c>
      <c r="B149" t="str">
        <f>[1]!GetFolder(A149)</f>
        <v>C:\Users\DAVE\OneDrive\REFERENCE\Registry_Hacks_to_Review</v>
      </c>
      <c r="C149" t="str">
        <f>[1]!GetFile(A149)</f>
        <v>focusundo.vbs</v>
      </c>
      <c r="D149">
        <v>481</v>
      </c>
      <c r="E149" s="6">
        <v>42597.967928240738</v>
      </c>
      <c r="F149" s="6">
        <v>39675.739791666667</v>
      </c>
      <c r="G149" s="6">
        <v>41928.599386574075</v>
      </c>
    </row>
    <row r="150" spans="1:7" x14ac:dyDescent="0.25">
      <c r="A150" t="s">
        <v>243</v>
      </c>
      <c r="B150" t="str">
        <f>[1]!GetFolder(A150)</f>
        <v>C:\Users\DAVE\OneDrive\REFERENCE\Registry_Hacks_to_Review</v>
      </c>
      <c r="C150" t="str">
        <f>[1]!GetFile(A150)</f>
        <v>iconcache.vbs</v>
      </c>
      <c r="D150">
        <v>349</v>
      </c>
      <c r="E150" s="6">
        <v>42597.967928240738</v>
      </c>
      <c r="F150" s="6">
        <v>39675.716064814813</v>
      </c>
      <c r="G150" s="6">
        <v>41928.599386574075</v>
      </c>
    </row>
    <row r="151" spans="1:7" x14ac:dyDescent="0.25">
      <c r="A151" t="s">
        <v>242</v>
      </c>
      <c r="B151" t="str">
        <f>[1]!GetFolder(A151)</f>
        <v>C:\Users\DAVE\OneDrive\REFERENCE\Registry_Hacks_to_Review</v>
      </c>
      <c r="C151" t="str">
        <f>[1]!GetFile(A151)</f>
        <v>ietoolbars.vbs</v>
      </c>
      <c r="D151">
        <v>944</v>
      </c>
      <c r="E151" s="6">
        <v>42597.967939814815</v>
      </c>
      <c r="F151" s="6">
        <v>39675.732939814814</v>
      </c>
      <c r="G151" s="6">
        <v>41928.599386574075</v>
      </c>
    </row>
    <row r="152" spans="1:7" x14ac:dyDescent="0.25">
      <c r="A152" t="s">
        <v>241</v>
      </c>
      <c r="B152" t="str">
        <f>[1]!GetFolder(A152)</f>
        <v>C:\Users\DAVE\OneDrive\REFERENCE\Registry_Hacks_to_Review</v>
      </c>
      <c r="C152" t="str">
        <f>[1]!GetFile(A152)</f>
        <v>LookUpExtensions.vbs</v>
      </c>
      <c r="D152">
        <v>658</v>
      </c>
      <c r="E152" s="6">
        <v>42597.967951388891</v>
      </c>
      <c r="F152" s="6">
        <v>39675.740671296298</v>
      </c>
      <c r="G152" s="6">
        <v>41928.599386574075</v>
      </c>
    </row>
    <row r="153" spans="1:7" x14ac:dyDescent="0.25">
      <c r="A153" t="s">
        <v>240</v>
      </c>
      <c r="B153" t="str">
        <f>[1]!GetFolder(A153)</f>
        <v>C:\Users\DAVE\OneDrive\REFERENCE\Registry_Hacks_to_Review</v>
      </c>
      <c r="C153" t="str">
        <f>[1]!GetFile(A153)</f>
        <v>numlockenabledisable.vbs</v>
      </c>
      <c r="D153">
        <v>993</v>
      </c>
      <c r="E153" s="6">
        <v>42597.967951388891</v>
      </c>
      <c r="F153" s="6">
        <v>39675.734675925924</v>
      </c>
      <c r="G153" s="6">
        <v>41928.599386574075</v>
      </c>
    </row>
    <row r="154" spans="1:7" x14ac:dyDescent="0.25">
      <c r="A154" t="s">
        <v>239</v>
      </c>
      <c r="B154" t="str">
        <f>[1]!GetFolder(A154)</f>
        <v>C:\Users\DAVE\OneDrive\REFERENCE\Registry_Hacks_to_Review</v>
      </c>
      <c r="C154" t="str">
        <f>[1]!GetFile(A154)</f>
        <v>readhostfile.vbs</v>
      </c>
      <c r="D154">
        <v>697</v>
      </c>
      <c r="E154" s="6">
        <v>42597.967962962961</v>
      </c>
      <c r="F154" s="6">
        <v>39675.750439814816</v>
      </c>
      <c r="G154" s="6">
        <v>41928.599386574075</v>
      </c>
    </row>
    <row r="155" spans="1:7" x14ac:dyDescent="0.25">
      <c r="A155" t="s">
        <v>238</v>
      </c>
      <c r="B155" t="str">
        <f>[1]!GetFolder(A155)</f>
        <v>C:\Users\DAVE\OneDrive\REFERENCE\Registry_Hacks_to_Review</v>
      </c>
      <c r="C155" t="str">
        <f>[1]!GetFile(A155)</f>
        <v>regopen.vbs</v>
      </c>
      <c r="D155">
        <v>382</v>
      </c>
      <c r="E155" s="6">
        <v>42597.967962962961</v>
      </c>
      <c r="F155" s="6">
        <v>39675.738263888888</v>
      </c>
      <c r="G155" s="6">
        <v>41928.599386574075</v>
      </c>
    </row>
    <row r="156" spans="1:7" x14ac:dyDescent="0.25">
      <c r="A156" t="s">
        <v>237</v>
      </c>
      <c r="B156" t="str">
        <f>[1]!GetFolder(A156)</f>
        <v>C:\Users\DAVE\OneDrive\REFERENCE\Registry_Hacks_to_Review</v>
      </c>
      <c r="C156" t="str">
        <f>[1]!GetFile(A156)</f>
        <v>ReportClassName.vbs</v>
      </c>
      <c r="D156">
        <v>5597</v>
      </c>
      <c r="E156" s="6">
        <v>42597.967962962961</v>
      </c>
      <c r="F156" s="6">
        <v>39675.717129629629</v>
      </c>
      <c r="G156" s="6">
        <v>41928.599386574075</v>
      </c>
    </row>
    <row r="157" spans="1:7" x14ac:dyDescent="0.25">
      <c r="A157" t="s">
        <v>236</v>
      </c>
      <c r="B157" t="str">
        <f>[1]!GetFolder(A157)</f>
        <v>C:\Users\DAVE\OneDrive\REFERENCE\Registry_Hacks_to_Review</v>
      </c>
      <c r="C157" t="str">
        <f>[1]!GetFile(A157)</f>
        <v>screensaverchange.vbs</v>
      </c>
      <c r="D157">
        <v>1128</v>
      </c>
      <c r="E157" s="6">
        <v>42597.967962962961</v>
      </c>
      <c r="F157" s="6">
        <v>39675.753888888888</v>
      </c>
      <c r="G157" s="6">
        <v>41928.599386574075</v>
      </c>
    </row>
    <row r="158" spans="1:7" x14ac:dyDescent="0.25">
      <c r="A158" t="s">
        <v>235</v>
      </c>
      <c r="B158" t="str">
        <f>[1]!GetFolder(A158)</f>
        <v>C:\Users\DAVE\OneDrive\REFERENCE\Registry_Hacks_to_Review</v>
      </c>
      <c r="C158" t="str">
        <f>[1]!GetFile(A158)</f>
        <v>separateprocess.vbs</v>
      </c>
      <c r="D158">
        <v>497</v>
      </c>
      <c r="E158" s="6">
        <v>42597.967974537038</v>
      </c>
      <c r="F158" s="6">
        <v>39675.709930555553</v>
      </c>
      <c r="G158" s="6">
        <v>41928.599386574075</v>
      </c>
    </row>
    <row r="159" spans="1:7" x14ac:dyDescent="0.25">
      <c r="A159" t="s">
        <v>234</v>
      </c>
      <c r="B159" t="str">
        <f>[1]!GetFolder(A159)</f>
        <v>C:\Users\DAVE\OneDrive\REFERENCE\Registry_Hacks_to_Review</v>
      </c>
      <c r="C159" t="str">
        <f>[1]!GetFile(A159)</f>
        <v>specialfolder.vbs</v>
      </c>
      <c r="D159">
        <v>4080</v>
      </c>
      <c r="E159" s="6">
        <v>42597.967986111114</v>
      </c>
      <c r="F159" s="6">
        <v>39675.716666666667</v>
      </c>
      <c r="G159" s="6">
        <v>41928.599386574075</v>
      </c>
    </row>
    <row r="160" spans="1:7" x14ac:dyDescent="0.25">
      <c r="A160" t="s">
        <v>233</v>
      </c>
      <c r="B160" t="str">
        <f>[1]!GetFolder(A160)</f>
        <v>C:\Users\DAVE\OneDrive\REFERENCE\Registry_Hacks_to_Review</v>
      </c>
      <c r="C160" t="str">
        <f>[1]!GetFile(A160)</f>
        <v>systemuptime.vbs</v>
      </c>
      <c r="D160">
        <v>781</v>
      </c>
      <c r="E160" s="6">
        <v>42597.967997685184</v>
      </c>
      <c r="F160" s="6">
        <v>39675.747083333335</v>
      </c>
      <c r="G160" s="6">
        <v>41928.599386574075</v>
      </c>
    </row>
    <row r="161" spans="1:7" x14ac:dyDescent="0.25">
      <c r="A161" t="s">
        <v>232</v>
      </c>
      <c r="B161" t="str">
        <f>[1]!GetFolder(A161)</f>
        <v>C:\Users\DAVE\OneDrive\REFERENCE\Registry_Hacks_to_Review</v>
      </c>
      <c r="C161" t="str">
        <f>[1]!GetFile(A161)</f>
        <v>window_placement.vbs</v>
      </c>
      <c r="D161">
        <v>175</v>
      </c>
      <c r="E161" s="6">
        <v>42597.967997685184</v>
      </c>
      <c r="F161" s="6">
        <v>39675.709583333337</v>
      </c>
      <c r="G161" s="6">
        <v>41928.599386574075</v>
      </c>
    </row>
    <row r="162" spans="1:7" x14ac:dyDescent="0.25">
      <c r="A162" t="s">
        <v>231</v>
      </c>
      <c r="B162" t="str">
        <f>[1]!GetFolder(A162)</f>
        <v>C:\Users\DAVE\OneDrive\REFERENCE\SQL_Server_2000_Resource_Kit\X0804969CD\TOOLSANDSAMPLES\METADATASCRIPTER</v>
      </c>
      <c r="C162" t="str">
        <f>[1]!GetFile(A162)</f>
        <v>FOOTER.VBS</v>
      </c>
      <c r="D162">
        <v>95799</v>
      </c>
      <c r="E162" s="6">
        <v>42598.35628472222</v>
      </c>
      <c r="F162" s="6">
        <v>36935.369652777779</v>
      </c>
      <c r="G162" s="6">
        <v>41928.599583333336</v>
      </c>
    </row>
    <row r="163" spans="1:7" x14ac:dyDescent="0.25">
      <c r="A163" t="s">
        <v>230</v>
      </c>
      <c r="B163" t="str">
        <f>[1]!GetFolder(A163)</f>
        <v>C:\Users\DAVE\OneDrive\REFERENCE\SQL_Server_2000_Resource_Kit\X0804969CD\TOOLSANDSAMPLES\METADATASCRIPTER</v>
      </c>
      <c r="C163" t="str">
        <f>[1]!GetFile(A163)</f>
        <v>HEADER.VBS</v>
      </c>
      <c r="D163">
        <v>1540</v>
      </c>
      <c r="E163" s="6">
        <v>42598.35628472222</v>
      </c>
      <c r="F163" s="6">
        <v>36935.369652777779</v>
      </c>
      <c r="G163" s="6">
        <v>41928.599583333336</v>
      </c>
    </row>
    <row r="164" spans="1:7" x14ac:dyDescent="0.25">
      <c r="A164" t="s">
        <v>229</v>
      </c>
      <c r="B164" t="str">
        <f>[1]!GetFolder(A164)</f>
        <v>C:\Users\DAVE\OneDrive\REFERENCE\Win32_API\Calling_External_Programs</v>
      </c>
      <c r="C164" t="str">
        <f>[1]!GetFile(A164)</f>
        <v>RunWait.VBS</v>
      </c>
      <c r="D164">
        <v>3387</v>
      </c>
      <c r="E164" s="6">
        <v>42598.077384259261</v>
      </c>
      <c r="F164" s="6">
        <v>38948.732476851852</v>
      </c>
      <c r="G164" s="6">
        <v>41928.598981481482</v>
      </c>
    </row>
    <row r="165" spans="1:7" x14ac:dyDescent="0.25">
      <c r="A165" t="s">
        <v>228</v>
      </c>
      <c r="B165" t="str">
        <f>[1]!GetFolder(A165)</f>
        <v>C:\Users\DAVE\OneDrive\REFERENCE\WinBatch_Stuff\evtextender\EvtExt</v>
      </c>
      <c r="C165" t="str">
        <f>[1]!GetFile(A165)</f>
        <v>error.vbs</v>
      </c>
      <c r="D165">
        <v>84</v>
      </c>
      <c r="E165" s="6">
        <v>42598.085335648146</v>
      </c>
      <c r="F165" s="6">
        <v>37606.77138888889</v>
      </c>
      <c r="G165" s="6">
        <v>41928.600706018522</v>
      </c>
    </row>
    <row r="166" spans="1:7" x14ac:dyDescent="0.25">
      <c r="A166" t="s">
        <v>227</v>
      </c>
      <c r="B166" t="str">
        <f>[1]!GetFolder(A166)</f>
        <v>C:\Users\DAVE\OneDrive\REFERENCE\WinBatch_Stuff\WshDialog</v>
      </c>
      <c r="C166" t="str">
        <f>[1]!GetFile(A166)</f>
        <v>WshDialog.vbs</v>
      </c>
      <c r="D166">
        <v>8273</v>
      </c>
      <c r="E166" s="6">
        <v>42598.078333333331</v>
      </c>
      <c r="F166" s="6">
        <v>38303.086111111108</v>
      </c>
      <c r="G166" s="6">
        <v>41928.60083333333</v>
      </c>
    </row>
    <row r="167" spans="1:7" x14ac:dyDescent="0.25">
      <c r="A167" t="s">
        <v>226</v>
      </c>
      <c r="B167" t="str">
        <f>[1]!GetFolder(A167)</f>
        <v>C:\Users\DAVE\OneDrive\REFERENCE\Windows_7\gshultz_V7R_1-22</v>
      </c>
      <c r="C167" t="str">
        <f>[1]!GetFile(A167)</f>
        <v>CreateCanonical.vbs</v>
      </c>
      <c r="D167">
        <v>578</v>
      </c>
      <c r="E167" s="6">
        <v>42598.078611111108</v>
      </c>
      <c r="F167" s="6">
        <v>40198.492314814815</v>
      </c>
      <c r="G167" s="6">
        <v>41928.600856481484</v>
      </c>
    </row>
    <row r="168" spans="1:7" x14ac:dyDescent="0.25">
      <c r="A168" t="s">
        <v>225</v>
      </c>
      <c r="B168" t="str">
        <f>[1]!GetFolder(A168)</f>
        <v>C:\Users\Public\Documents\H_DEASE\UTIL_from_ZAPHOD42</v>
      </c>
      <c r="C168" t="str">
        <f>[1]!GetFile(A168)</f>
        <v>NBIDDQL.VBS</v>
      </c>
      <c r="D168">
        <v>6121</v>
      </c>
      <c r="E168" s="6">
        <v>42596.886712962965</v>
      </c>
      <c r="F168" s="6">
        <v>40939.447615740741</v>
      </c>
      <c r="G168" s="6">
        <v>41940.500439814816</v>
      </c>
    </row>
    <row r="169" spans="1:7" x14ac:dyDescent="0.25">
      <c r="A169" t="s">
        <v>224</v>
      </c>
      <c r="B169" t="str">
        <f>[1]!GetFolder(A169)</f>
        <v>C:\Users\Public\Documents\NOLANB\BACKUPS\_Misc_Backups\UTIL_DAGDEV\UTIL_Milestone_20140129_113158</v>
      </c>
      <c r="C169" t="str">
        <f>[1]!GetFile(A169)</f>
        <v>NBIDDQL.VBS</v>
      </c>
      <c r="D169">
        <v>6121</v>
      </c>
      <c r="E169" s="6">
        <v>42597.189212962963</v>
      </c>
      <c r="F169" s="6">
        <v>40939.447615740741</v>
      </c>
      <c r="G169" s="6">
        <v>42248.008298611108</v>
      </c>
    </row>
    <row r="170" spans="1:7" x14ac:dyDescent="0.25">
      <c r="A170" t="s">
        <v>223</v>
      </c>
      <c r="B170" t="str">
        <f>[1]!GetFolder(A170)</f>
        <v>C:\Users\Public\Documents\NOLANB\TASKS\DataEase_on_X64\Windows_Server_REFERENCE\CALL_OUT_UTIL_20130423_111142</v>
      </c>
      <c r="C170" t="str">
        <f>[1]!GetFile(A170)</f>
        <v>NBIDDQL.VBS</v>
      </c>
      <c r="D170">
        <v>6121</v>
      </c>
      <c r="E170" s="6">
        <v>42597.190578703703</v>
      </c>
      <c r="F170" s="6">
        <v>40939.530949074076</v>
      </c>
      <c r="G170" s="6">
        <v>41929.448113425926</v>
      </c>
    </row>
    <row r="171" spans="1:7" x14ac:dyDescent="0.25">
      <c r="A171" t="s">
        <v>222</v>
      </c>
      <c r="B171" t="str">
        <f>[1]!GetFolder(A171)</f>
        <v>C:\Users\Public\Documents\NOLANB\TASKS\DataEase_on_X64\Windows_Server_REFERENCE\UTIL_SQLSERVER2K</v>
      </c>
      <c r="C171" t="str">
        <f>[1]!GetFile(A171)</f>
        <v>NBIDDQL.VBS</v>
      </c>
      <c r="D171">
        <v>6121</v>
      </c>
      <c r="E171" s="6">
        <v>42597.191145833334</v>
      </c>
      <c r="F171" s="6">
        <v>40939.489282407405</v>
      </c>
      <c r="G171" s="6">
        <v>41929.447708333333</v>
      </c>
    </row>
    <row r="172" spans="1:7" x14ac:dyDescent="0.25">
      <c r="A172" t="s">
        <v>221</v>
      </c>
      <c r="B172" t="str">
        <f>[1]!GetFolder(A172)</f>
        <v>C:\Users\Public\Documents\NOLANB\TASKS\_EMV_Credit_Card_Processing\_Deliverables_Prep\UTIL_ZAPHOD42_20160309_085628</v>
      </c>
      <c r="C172" t="str">
        <f>[1]!GetFile(A172)</f>
        <v>NBIDDQL.VBS</v>
      </c>
      <c r="D172">
        <v>6121</v>
      </c>
      <c r="E172" s="6">
        <v>42597.235011574077</v>
      </c>
      <c r="F172" s="6">
        <v>40939.405949074076</v>
      </c>
      <c r="G172" s="6">
        <v>40939.405949074076</v>
      </c>
    </row>
    <row r="173" spans="1:7" x14ac:dyDescent="0.25">
      <c r="A173" t="s">
        <v>220</v>
      </c>
      <c r="B173" t="str">
        <f>[1]!GetFolder(A173)</f>
        <v>C:\Users\Public\Documents\NOLANB\TASKS\_PTI_Gate_2016\UTIL_Rock_Hill</v>
      </c>
      <c r="C173" t="str">
        <f>[1]!GetFile(A173)</f>
        <v>NBIDDQL.VBS</v>
      </c>
      <c r="D173">
        <v>6121</v>
      </c>
      <c r="E173" s="6">
        <v>42597.142025462963</v>
      </c>
      <c r="F173" s="6">
        <v>40939.447615740741</v>
      </c>
      <c r="G173" s="6">
        <v>40939.447615740741</v>
      </c>
    </row>
    <row r="174" spans="1:7" x14ac:dyDescent="0.25">
      <c r="A174" t="s">
        <v>219</v>
      </c>
      <c r="B174" t="str">
        <f>[1]!GetFolder(A174)</f>
        <v>C:\Users\Public\Documents\NOLANB\_Installation_Packages\Remote\2013\20131016\REPORTS\UTIL_20130919_150654</v>
      </c>
      <c r="C174" t="str">
        <f>[1]!GetFile(A174)</f>
        <v>NBIDDQL.VBS</v>
      </c>
      <c r="D174">
        <v>6121</v>
      </c>
      <c r="E174" s="6">
        <v>42597.883136574077</v>
      </c>
      <c r="F174" s="6">
        <v>40939.489282407405</v>
      </c>
      <c r="G174" s="6">
        <v>41929.418819444443</v>
      </c>
    </row>
    <row r="175" spans="1:7" x14ac:dyDescent="0.25">
      <c r="A175" t="s">
        <v>218</v>
      </c>
      <c r="B175" t="str">
        <f>[1]!GetFolder(A175)</f>
        <v>C:\Users\Public\Documents\NOLANB\_Installation_Packages\UTIL_Reference</v>
      </c>
      <c r="C175" t="str">
        <f>[1]!GetFile(A175)</f>
        <v>NBIDDQL.VBS</v>
      </c>
      <c r="D175">
        <v>6121</v>
      </c>
      <c r="E175" s="6">
        <v>42596.989664351851</v>
      </c>
      <c r="F175" s="6">
        <v>40939.447615740741</v>
      </c>
      <c r="G175" s="6">
        <v>41929.419548611113</v>
      </c>
    </row>
    <row r="176" spans="1:7" x14ac:dyDescent="0.25">
      <c r="A176" t="s">
        <v>217</v>
      </c>
      <c r="B176" t="str">
        <f>[1]!GetFolder(A176)</f>
        <v>C:\Users\Public\Documents\Other_Clients\Justice_Marty\01137_Inspection_Worksheet\Experiments</v>
      </c>
      <c r="C176" t="str">
        <f>[1]!GetFile(A176)</f>
        <v>hey0425.VBS</v>
      </c>
      <c r="D176">
        <v>5927</v>
      </c>
      <c r="E176" s="6">
        <v>42597.159548611111</v>
      </c>
      <c r="F176" s="6">
        <v>39679.588796296295</v>
      </c>
      <c r="G176" s="6">
        <v>39679.576435185183</v>
      </c>
    </row>
    <row r="177" spans="1:7" x14ac:dyDescent="0.25">
      <c r="A177" t="s">
        <v>216</v>
      </c>
      <c r="B177" t="str">
        <f>[1]!GetFolder(A177)</f>
        <v>C:\Users\Public\Documents\Other_Clients\Justice_Marty\01137_Inspection_Worksheet\Experiments</v>
      </c>
      <c r="C177" t="str">
        <f>[1]!GetFile(A177)</f>
        <v>tips0719.VBS</v>
      </c>
      <c r="D177">
        <v>6231</v>
      </c>
      <c r="E177" s="6">
        <v>42597.159583333334</v>
      </c>
      <c r="F177" s="6">
        <v>39679.524004629631</v>
      </c>
      <c r="G177" s="6">
        <v>39679.494317129633</v>
      </c>
    </row>
    <row r="178" spans="1:7" x14ac:dyDescent="0.25">
      <c r="A178" t="s">
        <v>215</v>
      </c>
      <c r="B178" t="str">
        <f>[1]!GetFolder(A178)</f>
        <v>C:\UTIL</v>
      </c>
      <c r="C178" t="str">
        <f>[1]!GetFile(A178)</f>
        <v>NBIDDQL.VBS</v>
      </c>
      <c r="D178">
        <v>6121</v>
      </c>
      <c r="E178" s="6">
        <v>42378.136562500003</v>
      </c>
      <c r="F178" s="6">
        <v>40939.447615740741</v>
      </c>
      <c r="G178" s="6">
        <v>41952.617349537039</v>
      </c>
    </row>
    <row r="179" spans="1:7" x14ac:dyDescent="0.25">
      <c r="A179" t="s">
        <v>214</v>
      </c>
      <c r="B179" t="str">
        <f>[1]!GetFolder(A179)</f>
        <v>C:\Windows\System32</v>
      </c>
      <c r="C179" t="str">
        <f>[1]!GetFile(A179)</f>
        <v>slmgr.vbs</v>
      </c>
      <c r="D179">
        <v>113629</v>
      </c>
      <c r="E179" s="6">
        <v>42622.225925925923</v>
      </c>
      <c r="F179" s="6">
        <v>39974.693611111114</v>
      </c>
      <c r="G179" s="6">
        <v>39974.693611111114</v>
      </c>
    </row>
    <row r="180" spans="1:7" x14ac:dyDescent="0.25">
      <c r="A180" t="s">
        <v>213</v>
      </c>
      <c r="B180" t="str">
        <f>[1]!GetFolder(A180)</f>
        <v>C:\Windows\System32</v>
      </c>
      <c r="C180" t="str">
        <f>[1]!GetFile(A180)</f>
        <v>winrm.vbs</v>
      </c>
      <c r="D180">
        <v>204105</v>
      </c>
      <c r="E180" s="6">
        <v>42624.19935185185</v>
      </c>
      <c r="F180" s="6">
        <v>41533.107222222221</v>
      </c>
      <c r="G180" s="6">
        <v>42618.53297453704</v>
      </c>
    </row>
    <row r="181" spans="1:7" x14ac:dyDescent="0.25">
      <c r="A181" t="s">
        <v>212</v>
      </c>
      <c r="B181" t="str">
        <f>[1]!GetFolder(A181)</f>
        <v>C:\Windows\System32\Printing_Admin_Scripts\en-US</v>
      </c>
      <c r="C181" t="str">
        <f>[1]!GetFile(A181)</f>
        <v>prncnfg.vbs</v>
      </c>
      <c r="D181">
        <v>105940</v>
      </c>
      <c r="E181" s="6">
        <v>42378.168067129627</v>
      </c>
      <c r="F181" s="6">
        <v>40503.087708333333</v>
      </c>
      <c r="G181" s="6">
        <v>40503.087708333333</v>
      </c>
    </row>
    <row r="182" spans="1:7" x14ac:dyDescent="0.25">
      <c r="A182" t="s">
        <v>211</v>
      </c>
      <c r="B182" t="str">
        <f>[1]!GetFolder(A182)</f>
        <v>C:\Windows\System32\Printing_Admin_Scripts\en-US</v>
      </c>
      <c r="C182" t="str">
        <f>[1]!GetFile(A182)</f>
        <v>prndrvr.vbs</v>
      </c>
      <c r="D182">
        <v>51312</v>
      </c>
      <c r="E182" s="6">
        <v>42378.168067129627</v>
      </c>
      <c r="F182" s="6">
        <v>40503.087708333333</v>
      </c>
      <c r="G182" s="6">
        <v>40503.087708333333</v>
      </c>
    </row>
    <row r="183" spans="1:7" x14ac:dyDescent="0.25">
      <c r="A183" t="s">
        <v>210</v>
      </c>
      <c r="B183" t="str">
        <f>[1]!GetFolder(A183)</f>
        <v>C:\Windows\System32\Printing_Admin_Scripts\en-US</v>
      </c>
      <c r="C183" t="str">
        <f>[1]!GetFile(A183)</f>
        <v>prnjobs.vbs</v>
      </c>
      <c r="D183">
        <v>69882</v>
      </c>
      <c r="E183" s="6">
        <v>42378.168067129627</v>
      </c>
      <c r="F183" s="6">
        <v>40503.087708333333</v>
      </c>
      <c r="G183" s="6">
        <v>40503.087708333333</v>
      </c>
    </row>
    <row r="184" spans="1:7" x14ac:dyDescent="0.25">
      <c r="A184" t="s">
        <v>209</v>
      </c>
      <c r="B184" t="str">
        <f>[1]!GetFolder(A184)</f>
        <v>C:\Windows\System32\Printing_Admin_Scripts\en-US</v>
      </c>
      <c r="C184" t="str">
        <f>[1]!GetFile(A184)</f>
        <v>prnmngr.vbs</v>
      </c>
      <c r="D184">
        <v>81048</v>
      </c>
      <c r="E184" s="6">
        <v>42378.168067129627</v>
      </c>
      <c r="F184" s="6">
        <v>40503.087708333333</v>
      </c>
      <c r="G184" s="6">
        <v>40503.087708333333</v>
      </c>
    </row>
    <row r="185" spans="1:7" x14ac:dyDescent="0.25">
      <c r="A185" t="s">
        <v>208</v>
      </c>
      <c r="B185" t="str">
        <f>[1]!GetFolder(A185)</f>
        <v>C:\Windows\System32\Printing_Admin_Scripts\en-US</v>
      </c>
      <c r="C185" t="str">
        <f>[1]!GetFile(A185)</f>
        <v>prnport.vbs</v>
      </c>
      <c r="D185">
        <v>56756</v>
      </c>
      <c r="E185" s="6">
        <v>42378.168067129627</v>
      </c>
      <c r="F185" s="6">
        <v>40503.087708333333</v>
      </c>
      <c r="G185" s="6">
        <v>40503.087708333333</v>
      </c>
    </row>
    <row r="186" spans="1:7" x14ac:dyDescent="0.25">
      <c r="A186" t="s">
        <v>207</v>
      </c>
      <c r="B186" t="str">
        <f>[1]!GetFolder(A186)</f>
        <v>C:\Windows\System32\Printing_Admin_Scripts\en-US</v>
      </c>
      <c r="C186" t="str">
        <f>[1]!GetFile(A186)</f>
        <v>prnqctl.vbs</v>
      </c>
      <c r="D186">
        <v>51462</v>
      </c>
      <c r="E186" s="6">
        <v>42378.168067129627</v>
      </c>
      <c r="F186" s="6">
        <v>40503.087708333333</v>
      </c>
      <c r="G186" s="6">
        <v>40503.087708333333</v>
      </c>
    </row>
    <row r="187" spans="1:7" x14ac:dyDescent="0.25">
      <c r="A187" t="s">
        <v>206</v>
      </c>
      <c r="B187" t="str">
        <f>[1]!GetFolder(A187)</f>
        <v>C:\Windows\System32\Printing_Admin_Scripts\en-US</v>
      </c>
      <c r="C187" t="str">
        <f>[1]!GetFile(A187)</f>
        <v>pubprn.vbs</v>
      </c>
      <c r="D187">
        <v>7418</v>
      </c>
      <c r="E187" s="6">
        <v>42378.168067129627</v>
      </c>
      <c r="F187" s="6">
        <v>40503.087708333333</v>
      </c>
      <c r="G187" s="6">
        <v>40503.087708333333</v>
      </c>
    </row>
    <row r="188" spans="1:7" x14ac:dyDescent="0.25">
      <c r="A188" t="s">
        <v>205</v>
      </c>
      <c r="B188" t="str">
        <f>[1]!GetFolder(A188)</f>
        <v>C:\Windows\SysWOW64</v>
      </c>
      <c r="C188" t="str">
        <f>[1]!GetFile(A188)</f>
        <v>slmgr.vbs</v>
      </c>
      <c r="D188">
        <v>113629</v>
      </c>
      <c r="E188" s="6">
        <v>42622.225925925923</v>
      </c>
      <c r="F188" s="6">
        <v>39974.693611111114</v>
      </c>
      <c r="G188" s="6">
        <v>39974.693611111114</v>
      </c>
    </row>
    <row r="189" spans="1:7" x14ac:dyDescent="0.25">
      <c r="A189" t="s">
        <v>204</v>
      </c>
      <c r="B189" t="str">
        <f>[1]!GetFolder(A189)</f>
        <v>C:\Windows\SysWOW64</v>
      </c>
      <c r="C189" t="str">
        <f>[1]!GetFile(A189)</f>
        <v>winrm.vbs</v>
      </c>
      <c r="D189">
        <v>204105</v>
      </c>
      <c r="E189" s="6">
        <v>42624.19935185185</v>
      </c>
      <c r="F189" s="6">
        <v>41533.107222222221</v>
      </c>
      <c r="G189" s="6">
        <v>42618.53297453704</v>
      </c>
    </row>
    <row r="190" spans="1:7" x14ac:dyDescent="0.25">
      <c r="A190" t="s">
        <v>203</v>
      </c>
      <c r="B190" t="str">
        <f>[1]!GetFolder(A190)</f>
        <v>C:\Windows\SysWOW64\Printing_Admin_Scripts\en-US</v>
      </c>
      <c r="C190" t="str">
        <f>[1]!GetFile(A190)</f>
        <v>prncnfg.vbs</v>
      </c>
      <c r="D190">
        <v>105940</v>
      </c>
      <c r="E190" s="6">
        <v>42378.168067129627</v>
      </c>
      <c r="F190" s="6">
        <v>40503.087708333333</v>
      </c>
      <c r="G190" s="6">
        <v>40503.087708333333</v>
      </c>
    </row>
    <row r="191" spans="1:7" x14ac:dyDescent="0.25">
      <c r="A191" t="s">
        <v>202</v>
      </c>
      <c r="B191" t="str">
        <f>[1]!GetFolder(A191)</f>
        <v>C:\Windows\SysWOW64\Printing_Admin_Scripts\en-US</v>
      </c>
      <c r="C191" t="str">
        <f>[1]!GetFile(A191)</f>
        <v>prndrvr.vbs</v>
      </c>
      <c r="D191">
        <v>51312</v>
      </c>
      <c r="E191" s="6">
        <v>42378.168067129627</v>
      </c>
      <c r="F191" s="6">
        <v>40503.087708333333</v>
      </c>
      <c r="G191" s="6">
        <v>40503.087708333333</v>
      </c>
    </row>
    <row r="192" spans="1:7" x14ac:dyDescent="0.25">
      <c r="A192" t="s">
        <v>201</v>
      </c>
      <c r="B192" t="str">
        <f>[1]!GetFolder(A192)</f>
        <v>C:\Windows\SysWOW64\Printing_Admin_Scripts\en-US</v>
      </c>
      <c r="C192" t="str">
        <f>[1]!GetFile(A192)</f>
        <v>prnjobs.vbs</v>
      </c>
      <c r="D192">
        <v>69882</v>
      </c>
      <c r="E192" s="6">
        <v>42378.168067129627</v>
      </c>
      <c r="F192" s="6">
        <v>40503.087708333333</v>
      </c>
      <c r="G192" s="6">
        <v>40503.087708333333</v>
      </c>
    </row>
    <row r="193" spans="1:7" x14ac:dyDescent="0.25">
      <c r="A193" t="s">
        <v>200</v>
      </c>
      <c r="B193" t="str">
        <f>[1]!GetFolder(A193)</f>
        <v>C:\Windows\SysWOW64\Printing_Admin_Scripts\en-US</v>
      </c>
      <c r="C193" t="str">
        <f>[1]!GetFile(A193)</f>
        <v>prnmngr.vbs</v>
      </c>
      <c r="D193">
        <v>81048</v>
      </c>
      <c r="E193" s="6">
        <v>42378.168067129627</v>
      </c>
      <c r="F193" s="6">
        <v>40503.087708333333</v>
      </c>
      <c r="G193" s="6">
        <v>40503.087708333333</v>
      </c>
    </row>
    <row r="194" spans="1:7" x14ac:dyDescent="0.25">
      <c r="A194" t="s">
        <v>199</v>
      </c>
      <c r="B194" t="str">
        <f>[1]!GetFolder(A194)</f>
        <v>C:\Windows\SysWOW64\Printing_Admin_Scripts\en-US</v>
      </c>
      <c r="C194" t="str">
        <f>[1]!GetFile(A194)</f>
        <v>prnport.vbs</v>
      </c>
      <c r="D194">
        <v>56756</v>
      </c>
      <c r="E194" s="6">
        <v>42378.168067129627</v>
      </c>
      <c r="F194" s="6">
        <v>40503.087708333333</v>
      </c>
      <c r="G194" s="6">
        <v>40503.087708333333</v>
      </c>
    </row>
    <row r="195" spans="1:7" x14ac:dyDescent="0.25">
      <c r="A195" t="s">
        <v>198</v>
      </c>
      <c r="B195" t="str">
        <f>[1]!GetFolder(A195)</f>
        <v>C:\Windows\SysWOW64\Printing_Admin_Scripts\en-US</v>
      </c>
      <c r="C195" t="str">
        <f>[1]!GetFile(A195)</f>
        <v>prnqctl.vbs</v>
      </c>
      <c r="D195">
        <v>51462</v>
      </c>
      <c r="E195" s="6">
        <v>42378.168067129627</v>
      </c>
      <c r="F195" s="6">
        <v>40503.087708333333</v>
      </c>
      <c r="G195" s="6">
        <v>40503.087708333333</v>
      </c>
    </row>
    <row r="196" spans="1:7" x14ac:dyDescent="0.25">
      <c r="A196" t="s">
        <v>197</v>
      </c>
      <c r="B196" t="str">
        <f>[1]!GetFolder(A196)</f>
        <v>C:\Windows\SysWOW64\Printing_Admin_Scripts\en-US</v>
      </c>
      <c r="C196" t="str">
        <f>[1]!GetFile(A196)</f>
        <v>pubprn.vbs</v>
      </c>
      <c r="D196">
        <v>7418</v>
      </c>
      <c r="E196" s="6">
        <v>42378.168067129627</v>
      </c>
      <c r="F196" s="6">
        <v>40503.087708333333</v>
      </c>
      <c r="G196" s="6">
        <v>40503.087708333333</v>
      </c>
    </row>
    <row r="197" spans="1:7" x14ac:dyDescent="0.25">
      <c r="A197" t="s">
        <v>196</v>
      </c>
      <c r="B197" t="str">
        <f>[1]!GetFolder(A197)</f>
        <v>C:\Windows\winsxs\amd64_microsoft-windows-iis-legacyscripts_31bf3856ad364e35_6.1.7600.16385_none_da3b5e9090e80564</v>
      </c>
      <c r="C197" t="str">
        <f>[1]!GetFile(A197)</f>
        <v>adsutil.vbs</v>
      </c>
      <c r="D197">
        <v>98133</v>
      </c>
      <c r="E197" s="6">
        <v>42378.171180555553</v>
      </c>
      <c r="F197" s="6">
        <v>39974.651817129627</v>
      </c>
      <c r="G197" s="6">
        <v>40007.659479166665</v>
      </c>
    </row>
    <row r="198" spans="1:7" x14ac:dyDescent="0.25">
      <c r="A198" t="s">
        <v>195</v>
      </c>
      <c r="B198" t="str">
        <f>[1]!GetFolder(A198)</f>
        <v>C:\Windows\winsxs\amd64_microsoft-windows-iis-legacyscripts_31bf3856ad364e35_6.1.7600.16385_none_da3b5e9090e80564</v>
      </c>
      <c r="C198" t="str">
        <f>[1]!GetFile(A198)</f>
        <v>IIsExt.vbs</v>
      </c>
      <c r="D198">
        <v>41401</v>
      </c>
      <c r="E198" s="6">
        <v>42378.171180555553</v>
      </c>
      <c r="F198" s="6">
        <v>39974.651909722219</v>
      </c>
      <c r="G198" s="6">
        <v>40007.659479166665</v>
      </c>
    </row>
    <row r="199" spans="1:7" x14ac:dyDescent="0.25">
      <c r="A199" t="s">
        <v>194</v>
      </c>
      <c r="B199" t="str">
        <f>[1]!GetFolder(A199)</f>
        <v>C:\Windows\winsxs\amd64_microsoft-windows-nettrace-netsh-helper_31bf3856ad364e35_6.1.7600.16385_none_f72251fe8a04e1e5</v>
      </c>
      <c r="C199" t="str">
        <f>[1]!GetFile(A199)</f>
        <v>gatherNetworkInfo.vbs</v>
      </c>
      <c r="D199">
        <v>40552</v>
      </c>
      <c r="E199" s="6">
        <v>42624.222627314812</v>
      </c>
      <c r="F199" s="6">
        <v>39974.650277777779</v>
      </c>
      <c r="G199" s="6">
        <v>39974.650277777779</v>
      </c>
    </row>
    <row r="200" spans="1:7" x14ac:dyDescent="0.25">
      <c r="A200" t="s">
        <v>193</v>
      </c>
      <c r="B200" t="str">
        <f>[1]!GetFolder(A200)</f>
        <v>C:\Windows\winsxs\amd64_microsoft-windows-p..inscripts.resources_31bf3856ad364e35_6.1.7600.16385_en-us_6aa2519d66015923</v>
      </c>
      <c r="C200" t="str">
        <f>[1]!GetFile(A200)</f>
        <v>prncnfg.vbs</v>
      </c>
      <c r="D200">
        <v>105940</v>
      </c>
      <c r="E200" s="6">
        <v>42378.16611111111</v>
      </c>
      <c r="F200" s="6">
        <v>40503.087696759256</v>
      </c>
      <c r="G200" s="6">
        <v>40503.087696759256</v>
      </c>
    </row>
    <row r="201" spans="1:7" x14ac:dyDescent="0.25">
      <c r="A201" t="s">
        <v>192</v>
      </c>
      <c r="B201" t="str">
        <f>[1]!GetFolder(A201)</f>
        <v>C:\Windows\winsxs\amd64_microsoft-windows-p..inscripts.resources_31bf3856ad364e35_6.1.7600.16385_en-us_6aa2519d66015923</v>
      </c>
      <c r="C201" t="str">
        <f>[1]!GetFile(A201)</f>
        <v>prndrvr.vbs</v>
      </c>
      <c r="D201">
        <v>51312</v>
      </c>
      <c r="E201" s="6">
        <v>42378.16611111111</v>
      </c>
      <c r="F201" s="6">
        <v>40503.087696759256</v>
      </c>
      <c r="G201" s="6">
        <v>40503.087696759256</v>
      </c>
    </row>
    <row r="202" spans="1:7" x14ac:dyDescent="0.25">
      <c r="A202" t="s">
        <v>191</v>
      </c>
      <c r="B202" t="str">
        <f>[1]!GetFolder(A202)</f>
        <v>C:\Windows\winsxs\amd64_microsoft-windows-p..inscripts.resources_31bf3856ad364e35_6.1.7600.16385_en-us_6aa2519d66015923</v>
      </c>
      <c r="C202" t="str">
        <f>[1]!GetFile(A202)</f>
        <v>prnjobs.vbs</v>
      </c>
      <c r="D202">
        <v>69882</v>
      </c>
      <c r="E202" s="6">
        <v>42378.166122685187</v>
      </c>
      <c r="F202" s="6">
        <v>40503.087696759256</v>
      </c>
      <c r="G202" s="6">
        <v>40503.087696759256</v>
      </c>
    </row>
    <row r="203" spans="1:7" x14ac:dyDescent="0.25">
      <c r="A203" t="s">
        <v>190</v>
      </c>
      <c r="B203" t="str">
        <f>[1]!GetFolder(A203)</f>
        <v>C:\Windows\winsxs\amd64_microsoft-windows-p..inscripts.resources_31bf3856ad364e35_6.1.7600.16385_en-us_6aa2519d66015923</v>
      </c>
      <c r="C203" t="str">
        <f>[1]!GetFile(A203)</f>
        <v>prnmngr.vbs</v>
      </c>
      <c r="D203">
        <v>81048</v>
      </c>
      <c r="E203" s="6">
        <v>42378.166122685187</v>
      </c>
      <c r="F203" s="6">
        <v>40503.087696759256</v>
      </c>
      <c r="G203" s="6">
        <v>40503.087696759256</v>
      </c>
    </row>
    <row r="204" spans="1:7" x14ac:dyDescent="0.25">
      <c r="A204" t="s">
        <v>189</v>
      </c>
      <c r="B204" t="str">
        <f>[1]!GetFolder(A204)</f>
        <v>C:\Windows\winsxs\amd64_microsoft-windows-p..inscripts.resources_31bf3856ad364e35_6.1.7600.16385_en-us_6aa2519d66015923</v>
      </c>
      <c r="C204" t="str">
        <f>[1]!GetFile(A204)</f>
        <v>prnport.vbs</v>
      </c>
      <c r="D204">
        <v>56756</v>
      </c>
      <c r="E204" s="6">
        <v>42378.166122685187</v>
      </c>
      <c r="F204" s="6">
        <v>40503.087696759256</v>
      </c>
      <c r="G204" s="6">
        <v>40503.087696759256</v>
      </c>
    </row>
    <row r="205" spans="1:7" x14ac:dyDescent="0.25">
      <c r="A205" t="s">
        <v>188</v>
      </c>
      <c r="B205" t="str">
        <f>[1]!GetFolder(A205)</f>
        <v>C:\Windows\winsxs\amd64_microsoft-windows-p..inscripts.resources_31bf3856ad364e35_6.1.7600.16385_en-us_6aa2519d66015923</v>
      </c>
      <c r="C205" t="str">
        <f>[1]!GetFile(A205)</f>
        <v>prnqctl.vbs</v>
      </c>
      <c r="D205">
        <v>51462</v>
      </c>
      <c r="E205" s="6">
        <v>42378.166122685187</v>
      </c>
      <c r="F205" s="6">
        <v>40503.087696759256</v>
      </c>
      <c r="G205" s="6">
        <v>40503.087696759256</v>
      </c>
    </row>
    <row r="206" spans="1:7" x14ac:dyDescent="0.25">
      <c r="A206" t="s">
        <v>187</v>
      </c>
      <c r="B206" t="str">
        <f>[1]!GetFolder(A206)</f>
        <v>C:\Windows\winsxs\amd64_microsoft-windows-p..inscripts.resources_31bf3856ad364e35_6.1.7600.16385_en-us_6aa2519d66015923</v>
      </c>
      <c r="C206" t="str">
        <f>[1]!GetFile(A206)</f>
        <v>pubprn.vbs</v>
      </c>
      <c r="D206">
        <v>7418</v>
      </c>
      <c r="E206" s="6">
        <v>42378.166122685187</v>
      </c>
      <c r="F206" s="6">
        <v>40503.087696759256</v>
      </c>
      <c r="G206" s="6">
        <v>40503.087696759256</v>
      </c>
    </row>
    <row r="207" spans="1:7" x14ac:dyDescent="0.25">
      <c r="A207" t="s">
        <v>186</v>
      </c>
      <c r="B207" t="str">
        <f>[1]!GetFolder(A207)</f>
        <v>C:\Windows\winsxs\amd64_microsoft-windows-security-spp-tools_31bf3856ad364e35_6.1.7600.16385_none_a18e37c5d8d164ed</v>
      </c>
      <c r="C207" t="str">
        <f>[1]!GetFile(A207)</f>
        <v>slmgr.vbs</v>
      </c>
      <c r="D207">
        <v>113629</v>
      </c>
      <c r="E207" s="6">
        <v>42622.229722222219</v>
      </c>
      <c r="F207" s="6">
        <v>39974.66611111111</v>
      </c>
      <c r="G207" s="6">
        <v>39974.66611111111</v>
      </c>
    </row>
    <row r="208" spans="1:7" x14ac:dyDescent="0.25">
      <c r="A208" t="s">
        <v>185</v>
      </c>
      <c r="B208" t="str">
        <f>[1]!GetFolder(A208)</f>
        <v>C:\Windows\winsxs\amd64_microsoft-windows-w..for-management-core_31bf3856ad364e35_6.1.7601.17514_none_288b7acec3a75696</v>
      </c>
      <c r="C208" t="str">
        <f>[1]!GetFile(A208)</f>
        <v>winrm.vbs</v>
      </c>
      <c r="D208">
        <v>201034</v>
      </c>
      <c r="E208" s="6">
        <v>42534.770590277774</v>
      </c>
      <c r="F208" s="6">
        <v>39974.667291666665</v>
      </c>
      <c r="G208" s="6">
        <v>40007.745254629626</v>
      </c>
    </row>
    <row r="209" spans="1:7" x14ac:dyDescent="0.25">
      <c r="A209" t="s">
        <v>184</v>
      </c>
      <c r="B209" t="str">
        <f>[1]!GetFolder(A209)</f>
        <v>C:\Windows\winsxs\amd64_microsoft-windows-w..for-management-core_31bf3856ad364e35_6.1.7601.18619_none_2890675ec3a2ec11</v>
      </c>
      <c r="C209" t="str">
        <f>[1]!GetFile(A209)</f>
        <v>winrm.vbs</v>
      </c>
      <c r="D209">
        <v>201034</v>
      </c>
      <c r="E209" s="6">
        <v>42534.770590277774</v>
      </c>
      <c r="F209" s="6">
        <v>39974.667291666665</v>
      </c>
      <c r="G209" s="6">
        <v>40007.745254629626</v>
      </c>
    </row>
    <row r="210" spans="1:7" x14ac:dyDescent="0.25">
      <c r="A210" t="s">
        <v>183</v>
      </c>
      <c r="B210" t="str">
        <f>[1]!GetFolder(A210)</f>
        <v>C:\Windows\winsxs\amd64_microsoft-windows-w..for-management-core_31bf3856ad364e35_6.1.7601.22826_none_290c3545dccb58ee</v>
      </c>
      <c r="C210" t="str">
        <f>[1]!GetFile(A210)</f>
        <v>winrm.vbs</v>
      </c>
      <c r="D210">
        <v>201034</v>
      </c>
      <c r="E210" s="6">
        <v>42534.770590277774</v>
      </c>
      <c r="F210" s="6">
        <v>39974.667291666665</v>
      </c>
      <c r="G210" s="6">
        <v>40007.745254629626</v>
      </c>
    </row>
    <row r="211" spans="1:7" x14ac:dyDescent="0.25">
      <c r="A211" t="s">
        <v>182</v>
      </c>
      <c r="B211" t="str">
        <f>[1]!GetFolder(A211)</f>
        <v>C:\Windows\winsxs\amd64_microsoft-windows-w..for-management-core_31bf3856ad364e35_7.2.7601.16406_none_e237a9baed4f587b</v>
      </c>
      <c r="C211" t="str">
        <f>[1]!GetFile(A211)</f>
        <v>winrm.vbs</v>
      </c>
      <c r="D211">
        <v>204105</v>
      </c>
      <c r="E211" s="6">
        <v>42624.199872685182</v>
      </c>
      <c r="F211" s="6">
        <v>41533.107222222221</v>
      </c>
      <c r="G211" s="6">
        <v>42618.53297453704</v>
      </c>
    </row>
    <row r="212" spans="1:7" x14ac:dyDescent="0.25">
      <c r="A212" t="s">
        <v>181</v>
      </c>
      <c r="B212" t="str">
        <f>[1]!GetFolder(A212)</f>
        <v>C:\Windows\winsxs\wow64_microsoft-windows-iis-legacyscripts_31bf3856ad364e35_6.1.7600.16385_none_e49008e2c548c75f</v>
      </c>
      <c r="C212" t="str">
        <f>[1]!GetFile(A212)</f>
        <v>IIsExt.vbs</v>
      </c>
      <c r="D212">
        <v>41401</v>
      </c>
      <c r="E212" s="6">
        <v>42378.184537037036</v>
      </c>
      <c r="F212" s="6">
        <v>39974.681562500002</v>
      </c>
      <c r="G212" s="6">
        <v>40007.669386574074</v>
      </c>
    </row>
    <row r="213" spans="1:7" x14ac:dyDescent="0.25">
      <c r="A213" t="s">
        <v>180</v>
      </c>
      <c r="B213" t="str">
        <f>[1]!GetFolder(A213)</f>
        <v>C:\Windows\winsxs\wow64_microsoft-windows-w..for-management-core_31bf3856ad364e35_6.1.7601.17514_none_32e02520f8081891</v>
      </c>
      <c r="C213" t="str">
        <f>[1]!GetFile(A213)</f>
        <v>winrm.vbs</v>
      </c>
      <c r="D213">
        <v>201034</v>
      </c>
      <c r="E213" s="6">
        <v>42534.769849537035</v>
      </c>
      <c r="F213" s="6">
        <v>39974.694988425923</v>
      </c>
      <c r="G213" s="6">
        <v>40007.712835648148</v>
      </c>
    </row>
    <row r="214" spans="1:7" x14ac:dyDescent="0.25">
      <c r="A214" t="s">
        <v>179</v>
      </c>
      <c r="B214" t="str">
        <f>[1]!GetFolder(A214)</f>
        <v>C:\Windows\winsxs\wow64_microsoft-windows-w..for-management-core_31bf3856ad364e35_6.1.7601.18619_none_32e511b0f803ae0c</v>
      </c>
      <c r="C214" t="str">
        <f>[1]!GetFile(A214)</f>
        <v>winrm.vbs</v>
      </c>
      <c r="D214">
        <v>201034</v>
      </c>
      <c r="E214" s="6">
        <v>42534.769849537035</v>
      </c>
      <c r="F214" s="6">
        <v>39974.694988425923</v>
      </c>
      <c r="G214" s="6">
        <v>40007.712835648148</v>
      </c>
    </row>
    <row r="215" spans="1:7" x14ac:dyDescent="0.25">
      <c r="A215" t="s">
        <v>178</v>
      </c>
      <c r="B215" t="str">
        <f>[1]!GetFolder(A215)</f>
        <v>C:\Windows\winsxs\wow64_microsoft-windows-w..for-management-core_31bf3856ad364e35_6.1.7601.22826_none_3360df98112c1ae9</v>
      </c>
      <c r="C215" t="str">
        <f>[1]!GetFile(A215)</f>
        <v>winrm.vbs</v>
      </c>
      <c r="D215">
        <v>201034</v>
      </c>
      <c r="E215" s="6">
        <v>42534.769849537035</v>
      </c>
      <c r="F215" s="6">
        <v>39974.694988425923</v>
      </c>
      <c r="G215" s="6">
        <v>40007.712835648148</v>
      </c>
    </row>
    <row r="216" spans="1:7" x14ac:dyDescent="0.25">
      <c r="A216" t="s">
        <v>177</v>
      </c>
      <c r="B216" t="str">
        <f>[1]!GetFolder(A216)</f>
        <v>C:\Windows\winsxs\wow64_microsoft-windows-w..for-management-core_31bf3856ad364e35_7.2.7601.16406_none_ec8c540d21b01a76</v>
      </c>
      <c r="C216" t="str">
        <f>[1]!GetFile(A216)</f>
        <v>winrm.vbs</v>
      </c>
      <c r="D216">
        <v>204105</v>
      </c>
      <c r="E216" s="6">
        <v>42618.535115740742</v>
      </c>
      <c r="F216" s="6">
        <v>41533.107222222221</v>
      </c>
      <c r="G216" s="6">
        <v>42618.53297453704</v>
      </c>
    </row>
    <row r="217" spans="1:7" x14ac:dyDescent="0.25">
      <c r="A217" t="s">
        <v>176</v>
      </c>
      <c r="B217" t="str">
        <f>[1]!GetFolder(A217)</f>
        <v>C:\Windows\winsxs\x86_microsoft-windows-p..inscripts.resources_31bf3856ad364e35_6.1.7600.16385_en-us_0e83b619ada3e7ed</v>
      </c>
      <c r="C217" t="str">
        <f>[1]!GetFile(A217)</f>
        <v>prncnfg.vbs</v>
      </c>
      <c r="D217">
        <v>105940</v>
      </c>
      <c r="E217" s="6">
        <v>42378.168067129627</v>
      </c>
      <c r="F217" s="6">
        <v>40503.087708333333</v>
      </c>
      <c r="G217" s="6">
        <v>40503.087708333333</v>
      </c>
    </row>
    <row r="218" spans="1:7" x14ac:dyDescent="0.25">
      <c r="A218" t="s">
        <v>175</v>
      </c>
      <c r="B218" t="str">
        <f>[1]!GetFolder(A218)</f>
        <v>C:\Windows\winsxs\x86_microsoft-windows-p..inscripts.resources_31bf3856ad364e35_6.1.7600.16385_en-us_0e83b619ada3e7ed</v>
      </c>
      <c r="C218" t="str">
        <f>[1]!GetFile(A218)</f>
        <v>prndrvr.vbs</v>
      </c>
      <c r="D218">
        <v>51312</v>
      </c>
      <c r="E218" s="6">
        <v>42378.168067129627</v>
      </c>
      <c r="F218" s="6">
        <v>40503.087708333333</v>
      </c>
      <c r="G218" s="6">
        <v>40503.087708333333</v>
      </c>
    </row>
    <row r="219" spans="1:7" x14ac:dyDescent="0.25">
      <c r="A219" t="s">
        <v>174</v>
      </c>
      <c r="B219" t="str">
        <f>[1]!GetFolder(A219)</f>
        <v>C:\Windows\winsxs\x86_microsoft-windows-p..inscripts.resources_31bf3856ad364e35_6.1.7600.16385_en-us_0e83b619ada3e7ed</v>
      </c>
      <c r="C219" t="str">
        <f>[1]!GetFile(A219)</f>
        <v>prnjobs.vbs</v>
      </c>
      <c r="D219">
        <v>69882</v>
      </c>
      <c r="E219" s="6">
        <v>42378.168067129627</v>
      </c>
      <c r="F219" s="6">
        <v>40503.087708333333</v>
      </c>
      <c r="G219" s="6">
        <v>40503.087708333333</v>
      </c>
    </row>
    <row r="220" spans="1:7" x14ac:dyDescent="0.25">
      <c r="A220" t="s">
        <v>173</v>
      </c>
      <c r="B220" t="str">
        <f>[1]!GetFolder(A220)</f>
        <v>C:\Windows\winsxs\x86_microsoft-windows-p..inscripts.resources_31bf3856ad364e35_6.1.7600.16385_en-us_0e83b619ada3e7ed</v>
      </c>
      <c r="C220" t="str">
        <f>[1]!GetFile(A220)</f>
        <v>prnmngr.vbs</v>
      </c>
      <c r="D220">
        <v>81048</v>
      </c>
      <c r="E220" s="6">
        <v>42378.168067129627</v>
      </c>
      <c r="F220" s="6">
        <v>40503.087708333333</v>
      </c>
      <c r="G220" s="6">
        <v>40503.087708333333</v>
      </c>
    </row>
    <row r="221" spans="1:7" x14ac:dyDescent="0.25">
      <c r="A221" t="s">
        <v>172</v>
      </c>
      <c r="B221" t="str">
        <f>[1]!GetFolder(A221)</f>
        <v>C:\Windows\winsxs\x86_microsoft-windows-p..inscripts.resources_31bf3856ad364e35_6.1.7600.16385_en-us_0e83b619ada3e7ed</v>
      </c>
      <c r="C221" t="str">
        <f>[1]!GetFile(A221)</f>
        <v>prnport.vbs</v>
      </c>
      <c r="D221">
        <v>56756</v>
      </c>
      <c r="E221" s="6">
        <v>42378.168067129627</v>
      </c>
      <c r="F221" s="6">
        <v>40503.087708333333</v>
      </c>
      <c r="G221" s="6">
        <v>40503.087708333333</v>
      </c>
    </row>
    <row r="222" spans="1:7" x14ac:dyDescent="0.25">
      <c r="A222" t="s">
        <v>171</v>
      </c>
      <c r="B222" t="str">
        <f>[1]!GetFolder(A222)</f>
        <v>C:\Windows\winsxs\x86_microsoft-windows-p..inscripts.resources_31bf3856ad364e35_6.1.7600.16385_en-us_0e83b619ada3e7ed</v>
      </c>
      <c r="C222" t="str">
        <f>[1]!GetFile(A222)</f>
        <v>prnqctl.vbs</v>
      </c>
      <c r="D222">
        <v>51462</v>
      </c>
      <c r="E222" s="6">
        <v>42378.168067129627</v>
      </c>
      <c r="F222" s="6">
        <v>40503.087708333333</v>
      </c>
      <c r="G222" s="6">
        <v>40503.087708333333</v>
      </c>
    </row>
    <row r="223" spans="1:7" x14ac:dyDescent="0.25">
      <c r="A223" t="s">
        <v>170</v>
      </c>
      <c r="B223" t="str">
        <f>[1]!GetFolder(A223)</f>
        <v>C:\Windows\winsxs\x86_microsoft-windows-p..inscripts.resources_31bf3856ad364e35_6.1.7600.16385_en-us_0e83b619ada3e7ed</v>
      </c>
      <c r="C223" t="str">
        <f>[1]!GetFile(A223)</f>
        <v>pubprn.vbs</v>
      </c>
      <c r="D223">
        <v>7418</v>
      </c>
      <c r="E223" s="6">
        <v>42378.168067129627</v>
      </c>
      <c r="F223" s="6">
        <v>40503.087708333333</v>
      </c>
      <c r="G223" s="6">
        <v>40503.087708333333</v>
      </c>
    </row>
    <row r="224" spans="1:7" x14ac:dyDescent="0.25">
      <c r="A224" t="s">
        <v>169</v>
      </c>
      <c r="B224" t="str">
        <f>[1]!GetFolder(A224)</f>
        <v>C:\Windows\winsxs\x86_microsoft-windows-security-spp-tools_31bf3856ad364e35_6.1.7600.16385_none_456f9c422073f3b7</v>
      </c>
      <c r="C224" t="str">
        <f>[1]!GetFile(A224)</f>
        <v>slmgr.vbs</v>
      </c>
      <c r="D224">
        <v>113629</v>
      </c>
      <c r="E224" s="6">
        <v>42378.167349537034</v>
      </c>
      <c r="F224" s="6">
        <v>39974.693611111114</v>
      </c>
      <c r="G224" s="6">
        <v>39974.693611111114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2060"/>
  </sheetPr>
  <dimension ref="A1:L27"/>
  <sheetViews>
    <sheetView workbookViewId="0">
      <pane ySplit="2" topLeftCell="A3" activePane="bottomLeft" state="frozen"/>
      <selection pane="bottomLeft" activeCell="A3" sqref="A3"/>
    </sheetView>
  </sheetViews>
  <sheetFormatPr defaultRowHeight="15" x14ac:dyDescent="0.25"/>
  <cols>
    <col min="1" max="1" width="14.875" bestFit="1" customWidth="1"/>
    <col min="2" max="2" width="9.875" bestFit="1" customWidth="1"/>
    <col min="3" max="3" width="21.25" bestFit="1" customWidth="1"/>
    <col min="4" max="4" width="16" bestFit="1" customWidth="1"/>
    <col min="5" max="5" width="25.375" bestFit="1" customWidth="1"/>
    <col min="6" max="6" width="44.875" bestFit="1" customWidth="1"/>
    <col min="7" max="7" width="14.875" bestFit="1" customWidth="1"/>
    <col min="8" max="8" width="10.875" bestFit="1" customWidth="1"/>
    <col min="9" max="9" width="23.25" bestFit="1" customWidth="1"/>
    <col min="10" max="10" width="16" bestFit="1" customWidth="1"/>
    <col min="11" max="11" width="25.375" bestFit="1" customWidth="1"/>
    <col min="12" max="12" width="21.25" bestFit="1" customWidth="1"/>
  </cols>
  <sheetData>
    <row r="1" spans="1:12" ht="18" x14ac:dyDescent="0.25">
      <c r="A1" s="98" t="s">
        <v>404</v>
      </c>
      <c r="B1" s="99"/>
      <c r="C1" s="99"/>
      <c r="D1" s="100"/>
      <c r="E1" s="98" t="s">
        <v>434</v>
      </c>
      <c r="F1" s="100"/>
      <c r="G1" s="101" t="s">
        <v>449</v>
      </c>
      <c r="H1" s="102"/>
      <c r="I1" s="102"/>
      <c r="J1" s="103"/>
      <c r="K1" s="22" t="s">
        <v>434</v>
      </c>
      <c r="L1" s="22"/>
    </row>
    <row r="2" spans="1:12" ht="18" x14ac:dyDescent="0.25">
      <c r="A2" s="18" t="s">
        <v>408</v>
      </c>
      <c r="B2" s="18" t="s">
        <v>409</v>
      </c>
      <c r="C2" s="18" t="s">
        <v>5</v>
      </c>
      <c r="D2" s="18" t="s">
        <v>410</v>
      </c>
      <c r="E2" s="18" t="s">
        <v>5</v>
      </c>
      <c r="F2" s="18" t="s">
        <v>410</v>
      </c>
      <c r="G2" s="22" t="s">
        <v>408</v>
      </c>
      <c r="H2" s="22" t="s">
        <v>409</v>
      </c>
      <c r="I2" s="22" t="s">
        <v>5</v>
      </c>
      <c r="J2" s="22" t="s">
        <v>410</v>
      </c>
      <c r="K2" s="22" t="s">
        <v>5</v>
      </c>
      <c r="L2" s="22" t="s">
        <v>410</v>
      </c>
    </row>
    <row r="3" spans="1:12" x14ac:dyDescent="0.25">
      <c r="A3" s="19"/>
      <c r="B3" s="19"/>
      <c r="C3" s="19"/>
      <c r="D3" s="19"/>
      <c r="E3" s="19"/>
      <c r="F3" s="19"/>
      <c r="G3" s="23" t="s">
        <v>440</v>
      </c>
      <c r="H3" s="26" t="s">
        <v>448</v>
      </c>
      <c r="I3" s="26" t="s">
        <v>441</v>
      </c>
      <c r="J3" s="26"/>
      <c r="K3" s="26"/>
      <c r="L3" s="26"/>
    </row>
    <row r="4" spans="1:12" x14ac:dyDescent="0.25">
      <c r="A4" s="21"/>
      <c r="B4" s="21"/>
      <c r="C4" s="21"/>
      <c r="D4" s="21"/>
      <c r="E4" s="21"/>
      <c r="F4" s="21"/>
      <c r="G4" s="24" t="s">
        <v>440</v>
      </c>
      <c r="H4" s="27" t="s">
        <v>448</v>
      </c>
      <c r="I4" s="27" t="s">
        <v>442</v>
      </c>
      <c r="J4" s="27"/>
      <c r="K4" s="27"/>
      <c r="L4" s="27"/>
    </row>
    <row r="5" spans="1:12" x14ac:dyDescent="0.25">
      <c r="A5" s="21"/>
      <c r="B5" s="21"/>
      <c r="C5" s="21"/>
      <c r="D5" s="21"/>
      <c r="E5" s="21"/>
      <c r="F5" s="21"/>
      <c r="G5" s="24" t="s">
        <v>444</v>
      </c>
      <c r="H5" s="27" t="s">
        <v>448</v>
      </c>
      <c r="I5" s="27" t="s">
        <v>443</v>
      </c>
      <c r="J5" s="27" t="s">
        <v>437</v>
      </c>
      <c r="K5" s="27"/>
      <c r="L5" s="27"/>
    </row>
    <row r="6" spans="1:12" x14ac:dyDescent="0.25">
      <c r="A6" s="21"/>
      <c r="B6" s="21"/>
      <c r="C6" s="21"/>
      <c r="D6" s="21"/>
      <c r="E6" s="21"/>
      <c r="F6" s="21"/>
      <c r="G6" s="24" t="s">
        <v>444</v>
      </c>
      <c r="H6" s="27" t="s">
        <v>448</v>
      </c>
      <c r="I6" s="27" t="s">
        <v>445</v>
      </c>
      <c r="J6" s="27" t="s">
        <v>437</v>
      </c>
      <c r="K6" s="27"/>
      <c r="L6" s="27"/>
    </row>
    <row r="7" spans="1:12" x14ac:dyDescent="0.25">
      <c r="A7" s="21"/>
      <c r="B7" s="21"/>
      <c r="C7" s="21"/>
      <c r="D7" s="21"/>
      <c r="E7" s="21"/>
      <c r="F7" s="21"/>
      <c r="G7" s="24" t="s">
        <v>444</v>
      </c>
      <c r="H7" s="27" t="s">
        <v>448</v>
      </c>
      <c r="I7" s="27" t="s">
        <v>446</v>
      </c>
      <c r="J7" s="27" t="s">
        <v>447</v>
      </c>
      <c r="K7" s="27"/>
      <c r="L7" s="27"/>
    </row>
    <row r="8" spans="1:12" x14ac:dyDescent="0.25">
      <c r="A8" s="21" t="s">
        <v>405</v>
      </c>
      <c r="B8" s="21" t="s">
        <v>406</v>
      </c>
      <c r="C8" s="21" t="s">
        <v>403</v>
      </c>
      <c r="D8" s="21" t="s">
        <v>407</v>
      </c>
      <c r="E8" s="21"/>
      <c r="F8" s="21"/>
      <c r="G8" s="25" t="s">
        <v>405</v>
      </c>
      <c r="H8" s="27" t="s">
        <v>406</v>
      </c>
      <c r="I8" s="27" t="s">
        <v>403</v>
      </c>
      <c r="J8" s="27" t="s">
        <v>407</v>
      </c>
      <c r="K8" s="27"/>
      <c r="L8" s="27"/>
    </row>
    <row r="9" spans="1:12" x14ac:dyDescent="0.25">
      <c r="A9" s="20" t="s">
        <v>405</v>
      </c>
      <c r="B9" s="20" t="s">
        <v>411</v>
      </c>
      <c r="C9" s="20" t="s">
        <v>412</v>
      </c>
      <c r="D9" s="20" t="s">
        <v>407</v>
      </c>
      <c r="E9" s="20"/>
      <c r="F9" s="20"/>
      <c r="G9" s="25" t="s">
        <v>405</v>
      </c>
      <c r="H9" s="27" t="s">
        <v>411</v>
      </c>
      <c r="I9" s="27" t="s">
        <v>412</v>
      </c>
      <c r="J9" s="27" t="s">
        <v>407</v>
      </c>
      <c r="K9" s="27"/>
      <c r="L9" s="27"/>
    </row>
    <row r="10" spans="1:12" x14ac:dyDescent="0.25">
      <c r="A10" s="20" t="s">
        <v>405</v>
      </c>
      <c r="B10" s="20" t="s">
        <v>406</v>
      </c>
      <c r="C10" s="20" t="s">
        <v>413</v>
      </c>
      <c r="D10" s="20" t="s">
        <v>407</v>
      </c>
      <c r="E10" s="20"/>
      <c r="F10" s="20"/>
      <c r="G10" s="25" t="s">
        <v>405</v>
      </c>
      <c r="H10" s="27" t="s">
        <v>406</v>
      </c>
      <c r="I10" s="27" t="s">
        <v>413</v>
      </c>
      <c r="J10" s="27" t="s">
        <v>407</v>
      </c>
      <c r="K10" s="27"/>
      <c r="L10" s="27"/>
    </row>
    <row r="11" spans="1:12" x14ac:dyDescent="0.25">
      <c r="A11" s="20" t="s">
        <v>405</v>
      </c>
      <c r="B11" s="20" t="s">
        <v>406</v>
      </c>
      <c r="C11" s="20" t="s">
        <v>414</v>
      </c>
      <c r="D11" s="20" t="s">
        <v>415</v>
      </c>
      <c r="E11" s="20"/>
      <c r="F11" s="20"/>
      <c r="G11" s="25" t="s">
        <v>405</v>
      </c>
      <c r="H11" s="27" t="s">
        <v>406</v>
      </c>
      <c r="I11" s="27" t="s">
        <v>414</v>
      </c>
      <c r="J11" s="27" t="s">
        <v>415</v>
      </c>
      <c r="K11" s="27"/>
      <c r="L11" s="27"/>
    </row>
    <row r="12" spans="1:12" x14ac:dyDescent="0.25">
      <c r="A12" s="20" t="s">
        <v>405</v>
      </c>
      <c r="B12" s="20" t="s">
        <v>406</v>
      </c>
      <c r="C12" s="20" t="s">
        <v>416</v>
      </c>
      <c r="D12" s="20" t="s">
        <v>407</v>
      </c>
      <c r="E12" s="20"/>
      <c r="F12" s="20"/>
      <c r="G12" s="25" t="s">
        <v>405</v>
      </c>
      <c r="H12" s="27" t="s">
        <v>406</v>
      </c>
      <c r="I12" s="27" t="s">
        <v>416</v>
      </c>
      <c r="J12" s="27" t="s">
        <v>407</v>
      </c>
      <c r="K12" s="27"/>
      <c r="L12" s="27"/>
    </row>
    <row r="13" spans="1:12" x14ac:dyDescent="0.25">
      <c r="A13" s="20" t="s">
        <v>405</v>
      </c>
      <c r="B13" s="20" t="s">
        <v>406</v>
      </c>
      <c r="C13" s="20" t="s">
        <v>417</v>
      </c>
      <c r="D13" s="20" t="s">
        <v>407</v>
      </c>
      <c r="E13" s="20"/>
      <c r="F13" s="20"/>
      <c r="G13" s="25" t="s">
        <v>405</v>
      </c>
      <c r="H13" s="27" t="s">
        <v>406</v>
      </c>
      <c r="I13" s="27" t="s">
        <v>417</v>
      </c>
      <c r="J13" s="27" t="s">
        <v>407</v>
      </c>
      <c r="K13" s="27"/>
      <c r="L13" s="27"/>
    </row>
    <row r="14" spans="1:12" x14ac:dyDescent="0.25">
      <c r="A14" s="20" t="s">
        <v>405</v>
      </c>
      <c r="B14" s="20" t="s">
        <v>406</v>
      </c>
      <c r="C14" s="20" t="s">
        <v>418</v>
      </c>
      <c r="D14" s="20" t="s">
        <v>407</v>
      </c>
      <c r="E14" s="20"/>
      <c r="F14" s="20"/>
      <c r="G14" s="25" t="s">
        <v>405</v>
      </c>
      <c r="H14" s="27" t="s">
        <v>406</v>
      </c>
      <c r="I14" s="27" t="s">
        <v>418</v>
      </c>
      <c r="J14" s="27" t="s">
        <v>407</v>
      </c>
      <c r="K14" s="27"/>
      <c r="L14" s="27"/>
    </row>
    <row r="15" spans="1:12" x14ac:dyDescent="0.25">
      <c r="A15" s="20" t="s">
        <v>405</v>
      </c>
      <c r="B15" s="20" t="s">
        <v>406</v>
      </c>
      <c r="C15" s="20" t="s">
        <v>419</v>
      </c>
      <c r="D15" s="20" t="s">
        <v>407</v>
      </c>
      <c r="E15" s="20"/>
      <c r="F15" s="20"/>
      <c r="G15" s="25" t="s">
        <v>405</v>
      </c>
      <c r="H15" s="27" t="s">
        <v>406</v>
      </c>
      <c r="I15" s="27" t="s">
        <v>419</v>
      </c>
      <c r="J15" s="27" t="s">
        <v>407</v>
      </c>
      <c r="K15" s="27"/>
      <c r="L15" s="27"/>
    </row>
    <row r="16" spans="1:12" x14ac:dyDescent="0.25">
      <c r="A16" s="20" t="s">
        <v>405</v>
      </c>
      <c r="B16" s="20" t="s">
        <v>406</v>
      </c>
      <c r="C16" s="20" t="s">
        <v>420</v>
      </c>
      <c r="D16" s="20" t="s">
        <v>407</v>
      </c>
      <c r="E16" s="20"/>
      <c r="F16" s="20"/>
      <c r="G16" s="25" t="s">
        <v>405</v>
      </c>
      <c r="H16" s="27" t="s">
        <v>406</v>
      </c>
      <c r="I16" s="27" t="s">
        <v>420</v>
      </c>
      <c r="J16" s="27" t="s">
        <v>407</v>
      </c>
      <c r="K16" s="27"/>
      <c r="L16" s="27"/>
    </row>
    <row r="17" spans="1:12" x14ac:dyDescent="0.25">
      <c r="A17" s="20" t="s">
        <v>405</v>
      </c>
      <c r="B17" s="20" t="s">
        <v>406</v>
      </c>
      <c r="C17" s="20" t="s">
        <v>421</v>
      </c>
      <c r="D17" s="20" t="s">
        <v>407</v>
      </c>
      <c r="E17" s="20"/>
      <c r="F17" s="20"/>
      <c r="G17" s="25" t="s">
        <v>405</v>
      </c>
      <c r="H17" s="27" t="s">
        <v>406</v>
      </c>
      <c r="I17" s="27" t="s">
        <v>421</v>
      </c>
      <c r="J17" s="27" t="s">
        <v>407</v>
      </c>
      <c r="K17" s="27"/>
      <c r="L17" s="27"/>
    </row>
    <row r="18" spans="1:12" x14ac:dyDescent="0.25">
      <c r="A18" s="20" t="s">
        <v>405</v>
      </c>
      <c r="B18" s="20" t="s">
        <v>406</v>
      </c>
      <c r="C18" s="20" t="s">
        <v>422</v>
      </c>
      <c r="D18" s="20" t="s">
        <v>423</v>
      </c>
      <c r="E18" s="20"/>
      <c r="F18" s="20"/>
      <c r="G18" s="25" t="s">
        <v>405</v>
      </c>
      <c r="H18" s="27" t="s">
        <v>406</v>
      </c>
      <c r="I18" s="27" t="s">
        <v>422</v>
      </c>
      <c r="J18" s="27" t="s">
        <v>423</v>
      </c>
      <c r="K18" s="27"/>
      <c r="L18" s="27"/>
    </row>
    <row r="19" spans="1:12" x14ac:dyDescent="0.25">
      <c r="A19" s="20" t="s">
        <v>405</v>
      </c>
      <c r="B19" s="20" t="s">
        <v>406</v>
      </c>
      <c r="C19" s="20" t="s">
        <v>424</v>
      </c>
      <c r="D19" s="20" t="s">
        <v>425</v>
      </c>
      <c r="E19" s="20"/>
      <c r="F19" s="20"/>
      <c r="G19" s="25" t="s">
        <v>405</v>
      </c>
      <c r="H19" s="27" t="s">
        <v>406</v>
      </c>
      <c r="I19" s="27" t="s">
        <v>424</v>
      </c>
      <c r="J19" s="27" t="s">
        <v>425</v>
      </c>
      <c r="K19" s="27"/>
      <c r="L19" s="27"/>
    </row>
    <row r="20" spans="1:12" x14ac:dyDescent="0.25">
      <c r="A20" s="20" t="s">
        <v>405</v>
      </c>
      <c r="B20" s="20" t="s">
        <v>406</v>
      </c>
      <c r="C20" s="20" t="s">
        <v>426</v>
      </c>
      <c r="D20" s="20" t="s">
        <v>407</v>
      </c>
      <c r="E20" s="20"/>
      <c r="F20" s="20"/>
      <c r="G20" s="25" t="s">
        <v>405</v>
      </c>
      <c r="H20" s="27" t="s">
        <v>406</v>
      </c>
      <c r="I20" s="27" t="s">
        <v>426</v>
      </c>
      <c r="J20" s="27" t="s">
        <v>407</v>
      </c>
      <c r="K20" s="27"/>
      <c r="L20" s="27"/>
    </row>
    <row r="21" spans="1:12" x14ac:dyDescent="0.25">
      <c r="A21" s="20" t="s">
        <v>405</v>
      </c>
      <c r="B21" s="20" t="s">
        <v>406</v>
      </c>
      <c r="C21" s="20" t="s">
        <v>427</v>
      </c>
      <c r="D21" s="20" t="s">
        <v>407</v>
      </c>
      <c r="E21" s="20"/>
      <c r="F21" s="20"/>
      <c r="G21" s="25" t="s">
        <v>405</v>
      </c>
      <c r="H21" s="27" t="s">
        <v>406</v>
      </c>
      <c r="I21" s="27" t="s">
        <v>427</v>
      </c>
      <c r="J21" s="27" t="s">
        <v>407</v>
      </c>
      <c r="K21" s="27"/>
      <c r="L21" s="27"/>
    </row>
    <row r="22" spans="1:12" x14ac:dyDescent="0.25">
      <c r="A22" s="20" t="s">
        <v>405</v>
      </c>
      <c r="B22" s="20" t="s">
        <v>406</v>
      </c>
      <c r="C22" s="20" t="s">
        <v>428</v>
      </c>
      <c r="D22" s="20" t="s">
        <v>407</v>
      </c>
      <c r="E22" s="20"/>
      <c r="F22" s="20"/>
      <c r="G22" s="25" t="s">
        <v>405</v>
      </c>
      <c r="H22" s="27" t="s">
        <v>406</v>
      </c>
      <c r="I22" s="27" t="s">
        <v>428</v>
      </c>
      <c r="J22" s="27" t="s">
        <v>407</v>
      </c>
      <c r="K22" s="27"/>
      <c r="L22" s="27"/>
    </row>
    <row r="23" spans="1:12" x14ac:dyDescent="0.25">
      <c r="A23" s="20" t="s">
        <v>405</v>
      </c>
      <c r="B23" s="20" t="s">
        <v>406</v>
      </c>
      <c r="C23" s="20" t="s">
        <v>429</v>
      </c>
      <c r="D23" s="20" t="s">
        <v>407</v>
      </c>
      <c r="E23" s="20"/>
      <c r="F23" s="20"/>
      <c r="G23" s="25" t="s">
        <v>405</v>
      </c>
      <c r="H23" s="27" t="s">
        <v>406</v>
      </c>
      <c r="I23" s="27" t="s">
        <v>429</v>
      </c>
      <c r="J23" s="27" t="s">
        <v>407</v>
      </c>
      <c r="K23" s="27"/>
      <c r="L23" s="27"/>
    </row>
    <row r="24" spans="1:12" x14ac:dyDescent="0.25">
      <c r="A24" s="20"/>
      <c r="B24" s="20"/>
      <c r="C24" s="20"/>
      <c r="D24" s="20"/>
      <c r="E24" s="20"/>
      <c r="F24" s="20"/>
      <c r="G24" s="25" t="s">
        <v>450</v>
      </c>
      <c r="H24" s="27" t="s">
        <v>448</v>
      </c>
      <c r="I24" s="27" t="s">
        <v>451</v>
      </c>
      <c r="J24" s="27" t="s">
        <v>452</v>
      </c>
      <c r="K24" s="27"/>
      <c r="L24" s="27"/>
    </row>
    <row r="25" spans="1:12" x14ac:dyDescent="0.25">
      <c r="A25" s="20" t="s">
        <v>430</v>
      </c>
      <c r="B25" s="20" t="s">
        <v>448</v>
      </c>
      <c r="C25" s="20" t="s">
        <v>431</v>
      </c>
      <c r="D25" s="20" t="s">
        <v>432</v>
      </c>
      <c r="E25" s="20" t="s">
        <v>433</v>
      </c>
      <c r="F25" s="20" t="s">
        <v>407</v>
      </c>
      <c r="G25" s="25" t="s">
        <v>430</v>
      </c>
      <c r="H25" s="27" t="s">
        <v>448</v>
      </c>
      <c r="I25" s="27" t="s">
        <v>431</v>
      </c>
      <c r="J25" s="27" t="s">
        <v>432</v>
      </c>
      <c r="K25" s="27" t="s">
        <v>433</v>
      </c>
      <c r="L25" s="27" t="s">
        <v>407</v>
      </c>
    </row>
    <row r="26" spans="1:12" x14ac:dyDescent="0.25">
      <c r="A26" s="20" t="s">
        <v>430</v>
      </c>
      <c r="B26" s="20" t="s">
        <v>448</v>
      </c>
      <c r="C26" s="20" t="s">
        <v>435</v>
      </c>
      <c r="D26" s="20" t="s">
        <v>407</v>
      </c>
      <c r="E26" s="20" t="s">
        <v>436</v>
      </c>
      <c r="F26" s="20" t="s">
        <v>437</v>
      </c>
      <c r="G26" s="25" t="s">
        <v>430</v>
      </c>
      <c r="H26" s="27" t="s">
        <v>448</v>
      </c>
      <c r="I26" s="27" t="s">
        <v>435</v>
      </c>
      <c r="J26" s="27" t="s">
        <v>407</v>
      </c>
      <c r="K26" s="27" t="s">
        <v>436</v>
      </c>
      <c r="L26" s="27" t="s">
        <v>437</v>
      </c>
    </row>
    <row r="27" spans="1:12" x14ac:dyDescent="0.25">
      <c r="A27" s="20" t="s">
        <v>430</v>
      </c>
      <c r="B27" s="20" t="s">
        <v>448</v>
      </c>
      <c r="C27" s="20" t="s">
        <v>435</v>
      </c>
      <c r="D27" s="20" t="s">
        <v>407</v>
      </c>
      <c r="E27" s="20" t="s">
        <v>438</v>
      </c>
      <c r="F27" s="20" t="s">
        <v>439</v>
      </c>
      <c r="G27" s="25" t="s">
        <v>430</v>
      </c>
      <c r="H27" s="27" t="s">
        <v>448</v>
      </c>
      <c r="I27" s="27" t="s">
        <v>435</v>
      </c>
      <c r="J27" s="27" t="s">
        <v>407</v>
      </c>
      <c r="K27" s="27" t="s">
        <v>438</v>
      </c>
      <c r="L27" s="27" t="s">
        <v>441</v>
      </c>
    </row>
  </sheetData>
  <mergeCells count="3">
    <mergeCell ref="A1:D1"/>
    <mergeCell ref="E1:F1"/>
    <mergeCell ref="G1:J1"/>
  </mergeCell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12"/>
  <sheetViews>
    <sheetView tabSelected="1" workbookViewId="0">
      <selection sqref="A1:B1"/>
    </sheetView>
  </sheetViews>
  <sheetFormatPr defaultRowHeight="15" x14ac:dyDescent="0.25"/>
  <cols>
    <col min="1" max="1" width="2.875" bestFit="1" customWidth="1"/>
    <col min="2" max="2" width="102.625" bestFit="1" customWidth="1"/>
    <col min="3" max="3" width="7.25" bestFit="1" customWidth="1"/>
    <col min="4" max="4" width="15.125" bestFit="1" customWidth="1"/>
    <col min="5" max="5" width="20.25" bestFit="1" customWidth="1"/>
    <col min="6" max="6" width="26.5" bestFit="1" customWidth="1"/>
    <col min="7" max="7" width="17.25" bestFit="1" customWidth="1"/>
    <col min="8" max="8" width="50.25" bestFit="1" customWidth="1"/>
    <col min="9" max="9" width="15.125" bestFit="1" customWidth="1"/>
    <col min="10" max="10" width="7" bestFit="1" customWidth="1"/>
    <col min="11" max="11" width="8" bestFit="1" customWidth="1"/>
    <col min="12" max="12" width="4" bestFit="1" customWidth="1"/>
    <col min="13" max="13" width="23.375" bestFit="1" customWidth="1"/>
    <col min="14" max="15" width="4.125" bestFit="1" customWidth="1"/>
  </cols>
  <sheetData>
    <row r="1" spans="1:15" ht="22.5" x14ac:dyDescent="0.3">
      <c r="A1" s="104" t="s">
        <v>488</v>
      </c>
      <c r="B1" s="104"/>
      <c r="C1" s="104" t="s">
        <v>701</v>
      </c>
      <c r="D1" s="104"/>
      <c r="E1" s="104"/>
      <c r="F1" s="104"/>
      <c r="G1" s="104"/>
      <c r="H1" s="104"/>
      <c r="I1" s="104"/>
      <c r="J1" s="104"/>
      <c r="K1" s="104"/>
      <c r="L1" s="104"/>
      <c r="M1" s="104"/>
      <c r="N1" s="104"/>
      <c r="O1" s="104"/>
    </row>
    <row r="2" spans="1:15" ht="18" x14ac:dyDescent="0.25">
      <c r="A2" s="105" t="s">
        <v>700</v>
      </c>
      <c r="B2" s="105" t="s">
        <v>663</v>
      </c>
      <c r="C2" s="105" t="s">
        <v>699</v>
      </c>
      <c r="D2" s="105">
        <f t="shared" ref="D2:O2" si="0">IF(ISNUMBER(C2),C2+1,1)</f>
        <v>1</v>
      </c>
      <c r="E2" s="105">
        <f t="shared" si="0"/>
        <v>2</v>
      </c>
      <c r="F2" s="105">
        <f t="shared" si="0"/>
        <v>3</v>
      </c>
      <c r="G2" s="105">
        <f t="shared" si="0"/>
        <v>4</v>
      </c>
      <c r="H2" s="105">
        <f t="shared" si="0"/>
        <v>5</v>
      </c>
      <c r="I2" s="105">
        <f t="shared" si="0"/>
        <v>6</v>
      </c>
      <c r="J2" s="105">
        <f t="shared" si="0"/>
        <v>7</v>
      </c>
      <c r="K2" s="105">
        <f t="shared" si="0"/>
        <v>8</v>
      </c>
      <c r="L2" s="105">
        <f t="shared" si="0"/>
        <v>9</v>
      </c>
      <c r="M2" s="105">
        <f t="shared" si="0"/>
        <v>10</v>
      </c>
      <c r="N2" s="105">
        <f t="shared" si="0"/>
        <v>11</v>
      </c>
      <c r="O2" s="105">
        <f t="shared" si="0"/>
        <v>12</v>
      </c>
    </row>
    <row r="3" spans="1:15" x14ac:dyDescent="0.25">
      <c r="A3" s="30">
        <f>IF(ISNUMBER(A2),A2+1,1)</f>
        <v>1</v>
      </c>
      <c r="B3" s="30" t="s">
        <v>393</v>
      </c>
      <c r="C3" s="30">
        <f>ParseAnyCSVGetSubstringCount(B3)</f>
        <v>5</v>
      </c>
      <c r="D3" s="30" t="str">
        <f t="shared" ref="D3:O12" si="1">ParseAnyCSVExtractSubstring($B3,D$2)</f>
        <v>This</v>
      </c>
      <c r="E3" s="30" t="str">
        <f t="shared" si="1"/>
        <v>is</v>
      </c>
      <c r="F3" s="30" t="str">
        <f t="shared" si="1"/>
        <v>a</v>
      </c>
      <c r="G3" s="30" t="str">
        <f t="shared" si="1"/>
        <v>basic</v>
      </c>
      <c r="H3" s="30" t="str">
        <f t="shared" si="1"/>
        <v>test.</v>
      </c>
      <c r="I3" s="30" t="str">
        <f t="shared" si="1"/>
        <v/>
      </c>
      <c r="J3" s="30" t="str">
        <f t="shared" si="1"/>
        <v/>
      </c>
      <c r="K3" s="30" t="str">
        <f t="shared" si="1"/>
        <v/>
      </c>
      <c r="L3" s="30" t="str">
        <f t="shared" si="1"/>
        <v/>
      </c>
      <c r="M3" s="30" t="str">
        <f t="shared" si="1"/>
        <v/>
      </c>
      <c r="N3" s="30" t="str">
        <f t="shared" si="1"/>
        <v/>
      </c>
      <c r="O3" s="30" t="str">
        <f t="shared" si="1"/>
        <v/>
      </c>
    </row>
    <row r="4" spans="1:15" x14ac:dyDescent="0.25">
      <c r="A4" s="30">
        <f t="shared" ref="A4:A12" si="2">IF(ISNUMBER(A3),A3+1,1)</f>
        <v>2</v>
      </c>
      <c r="B4" s="30" t="s">
        <v>394</v>
      </c>
      <c r="C4" s="30">
        <f t="shared" ref="C4:C12" si="3">ParseAnyCSVGetSubstringCount(B4)</f>
        <v>8</v>
      </c>
      <c r="D4" s="30" t="str">
        <f t="shared" si="1"/>
        <v/>
      </c>
      <c r="E4" s="30" t="str">
        <f t="shared" si="1"/>
        <v>This</v>
      </c>
      <c r="F4" s="30" t="str">
        <f t="shared" si="1"/>
        <v>test</v>
      </c>
      <c r="G4" s="30" t="str">
        <f t="shared" si="1"/>
        <v>starts</v>
      </c>
      <c r="H4" s="30" t="str">
        <f t="shared" si="1"/>
        <v>with</v>
      </c>
      <c r="I4" s="30" t="str">
        <f t="shared" si="1"/>
        <v>an</v>
      </c>
      <c r="J4" s="30" t="str">
        <f t="shared" si="1"/>
        <v>empty</v>
      </c>
      <c r="K4" s="30" t="str">
        <f t="shared" si="1"/>
        <v>string.</v>
      </c>
      <c r="L4" s="30" t="str">
        <f t="shared" si="1"/>
        <v/>
      </c>
      <c r="M4" s="30" t="str">
        <f t="shared" si="1"/>
        <v/>
      </c>
      <c r="N4" s="30" t="str">
        <f t="shared" si="1"/>
        <v/>
      </c>
      <c r="O4" s="30" t="str">
        <f t="shared" si="1"/>
        <v/>
      </c>
    </row>
    <row r="5" spans="1:15" x14ac:dyDescent="0.25">
      <c r="A5" s="30">
        <f t="shared" si="2"/>
        <v>3</v>
      </c>
      <c r="B5" s="30" t="s">
        <v>395</v>
      </c>
      <c r="C5" s="30">
        <f t="shared" si="3"/>
        <v>8</v>
      </c>
      <c r="D5" s="30" t="str">
        <f t="shared" si="1"/>
        <v>This</v>
      </c>
      <c r="E5" s="30" t="str">
        <f t="shared" si="1"/>
        <v>test</v>
      </c>
      <c r="F5" s="30" t="str">
        <f t="shared" si="1"/>
        <v>ends</v>
      </c>
      <c r="G5" s="30" t="str">
        <f t="shared" si="1"/>
        <v>with</v>
      </c>
      <c r="H5" s="30" t="str">
        <f t="shared" si="1"/>
        <v>an</v>
      </c>
      <c r="I5" s="30" t="str">
        <f t="shared" si="1"/>
        <v>empty</v>
      </c>
      <c r="J5" s="30" t="str">
        <f t="shared" si="1"/>
        <v>field.</v>
      </c>
      <c r="K5" s="30" t="str">
        <f t="shared" si="1"/>
        <v/>
      </c>
      <c r="L5" s="30" t="str">
        <f t="shared" si="1"/>
        <v/>
      </c>
      <c r="M5" s="30" t="str">
        <f t="shared" si="1"/>
        <v/>
      </c>
      <c r="N5" s="30" t="str">
        <f t="shared" si="1"/>
        <v/>
      </c>
      <c r="O5" s="30" t="str">
        <f t="shared" si="1"/>
        <v/>
      </c>
    </row>
    <row r="6" spans="1:15" x14ac:dyDescent="0.25">
      <c r="A6" s="30">
        <f t="shared" si="2"/>
        <v>4</v>
      </c>
      <c r="B6" s="30" t="s">
        <v>396</v>
      </c>
      <c r="C6" s="30">
        <f t="shared" si="3"/>
        <v>6</v>
      </c>
      <c r="D6" s="30" t="str">
        <f t="shared" si="1"/>
        <v>This test</v>
      </c>
      <c r="E6" s="30" t="str">
        <f t="shared" si="1"/>
        <v>starts</v>
      </c>
      <c r="F6" s="30" t="str">
        <f t="shared" si="1"/>
        <v>with</v>
      </c>
      <c r="G6" s="30" t="str">
        <f t="shared" si="1"/>
        <v>a</v>
      </c>
      <c r="H6" s="30" t="str">
        <f t="shared" si="1"/>
        <v>quoted</v>
      </c>
      <c r="I6" s="30" t="str">
        <f t="shared" si="1"/>
        <v>string.</v>
      </c>
      <c r="J6" s="30" t="str">
        <f t="shared" si="1"/>
        <v/>
      </c>
      <c r="K6" s="30" t="str">
        <f t="shared" si="1"/>
        <v/>
      </c>
      <c r="L6" s="30" t="str">
        <f t="shared" si="1"/>
        <v/>
      </c>
      <c r="M6" s="30" t="str">
        <f t="shared" si="1"/>
        <v/>
      </c>
      <c r="N6" s="30" t="str">
        <f t="shared" si="1"/>
        <v/>
      </c>
      <c r="O6" s="30" t="str">
        <f t="shared" si="1"/>
        <v/>
      </c>
    </row>
    <row r="7" spans="1:15" x14ac:dyDescent="0.25">
      <c r="A7" s="30">
        <f t="shared" si="2"/>
        <v>5</v>
      </c>
      <c r="B7" s="30" t="s">
        <v>397</v>
      </c>
      <c r="C7" s="30">
        <f t="shared" si="3"/>
        <v>6</v>
      </c>
      <c r="D7" s="30" t="str">
        <f t="shared" si="1"/>
        <v>This</v>
      </c>
      <c r="E7" s="30" t="str">
        <f t="shared" si="1"/>
        <v>test</v>
      </c>
      <c r="F7" s="30" t="str">
        <f t="shared" si="1"/>
        <v>ends</v>
      </c>
      <c r="G7" s="30" t="str">
        <f t="shared" si="1"/>
        <v>with</v>
      </c>
      <c r="H7" s="30" t="str">
        <f t="shared" si="1"/>
        <v>a</v>
      </c>
      <c r="I7" s="30" t="str">
        <f t="shared" si="1"/>
        <v>quoted string.</v>
      </c>
      <c r="J7" s="30" t="str">
        <f t="shared" si="1"/>
        <v/>
      </c>
      <c r="K7" s="30" t="str">
        <f t="shared" si="1"/>
        <v/>
      </c>
      <c r="L7" s="30" t="str">
        <f t="shared" si="1"/>
        <v/>
      </c>
      <c r="M7" s="30" t="str">
        <f t="shared" si="1"/>
        <v/>
      </c>
      <c r="N7" s="30" t="str">
        <f t="shared" si="1"/>
        <v/>
      </c>
      <c r="O7" s="30" t="str">
        <f t="shared" si="1"/>
        <v/>
      </c>
    </row>
    <row r="8" spans="1:15" x14ac:dyDescent="0.25">
      <c r="A8" s="30">
        <f t="shared" si="2"/>
        <v>6</v>
      </c>
      <c r="B8" s="30" t="s">
        <v>398</v>
      </c>
      <c r="C8" s="30">
        <f t="shared" si="3"/>
        <v>5</v>
      </c>
      <c r="D8" s="30" t="str">
        <f t="shared" si="1"/>
        <v>This</v>
      </c>
      <c r="E8" s="30" t="str">
        <f t="shared" si="1"/>
        <v>test</v>
      </c>
      <c r="F8" s="30" t="str">
        <f t="shared" si="1"/>
        <v>contains an embedded</v>
      </c>
      <c r="G8" s="30" t="str">
        <f t="shared" si="1"/>
        <v>quoted</v>
      </c>
      <c r="H8" s="30" t="str">
        <f t="shared" si="1"/>
        <v>string.</v>
      </c>
      <c r="I8" s="30" t="str">
        <f t="shared" si="1"/>
        <v/>
      </c>
      <c r="J8" s="30" t="str">
        <f t="shared" si="1"/>
        <v/>
      </c>
      <c r="K8" s="30" t="str">
        <f t="shared" si="1"/>
        <v/>
      </c>
      <c r="L8" s="30" t="str">
        <f t="shared" si="1"/>
        <v/>
      </c>
      <c r="M8" s="30" t="str">
        <f t="shared" si="1"/>
        <v/>
      </c>
      <c r="N8" s="30" t="str">
        <f t="shared" si="1"/>
        <v/>
      </c>
      <c r="O8" s="30" t="str">
        <f t="shared" si="1"/>
        <v/>
      </c>
    </row>
    <row r="9" spans="1:15" x14ac:dyDescent="0.25">
      <c r="A9" s="30">
        <f t="shared" si="2"/>
        <v>7</v>
      </c>
      <c r="B9" s="30" t="s">
        <v>399</v>
      </c>
      <c r="C9" s="30">
        <f t="shared" si="3"/>
        <v>4</v>
      </c>
      <c r="D9" s="30" t="str">
        <f t="shared" si="1"/>
        <v>This</v>
      </c>
      <c r="E9" s="30" t="str">
        <f t="shared" si="1"/>
        <v>test contains</v>
      </c>
      <c r="F9" s="30" t="str">
        <f t="shared" si="1"/>
        <v>two</v>
      </c>
      <c r="G9" s="30" t="str">
        <f t="shared" si="1"/>
        <v>quoted strings.</v>
      </c>
      <c r="H9" s="30" t="str">
        <f t="shared" si="1"/>
        <v/>
      </c>
      <c r="I9" s="30" t="str">
        <f t="shared" si="1"/>
        <v/>
      </c>
      <c r="J9" s="30" t="str">
        <f t="shared" si="1"/>
        <v/>
      </c>
      <c r="K9" s="30" t="str">
        <f t="shared" si="1"/>
        <v/>
      </c>
      <c r="L9" s="30" t="str">
        <f t="shared" si="1"/>
        <v/>
      </c>
      <c r="M9" s="30" t="str">
        <f t="shared" si="1"/>
        <v/>
      </c>
      <c r="N9" s="30" t="str">
        <f t="shared" si="1"/>
        <v/>
      </c>
      <c r="O9" s="30" t="str">
        <f t="shared" si="1"/>
        <v/>
      </c>
    </row>
    <row r="10" spans="1:15" x14ac:dyDescent="0.25">
      <c r="A10" s="30">
        <f t="shared" si="2"/>
        <v>8</v>
      </c>
      <c r="B10" s="30" t="s">
        <v>400</v>
      </c>
      <c r="C10" s="30">
        <f>ParseAnyCSVGetSubstringCount(B10)</f>
        <v>5</v>
      </c>
      <c r="D10" s="30" t="str">
        <f t="shared" si="1"/>
        <v>This</v>
      </c>
      <c r="E10" s="30" t="str">
        <f t="shared" si="1"/>
        <v>test</v>
      </c>
      <c r="F10" s="30" t="str">
        <f t="shared" si="1"/>
        <v>contains a quoted string,</v>
      </c>
      <c r="G10" s="30" t="str">
        <f t="shared" si="1"/>
        <v>followed by more</v>
      </c>
      <c r="H10" s="30" t="str">
        <f t="shared" si="1"/>
        <v>text, both of which include commas.</v>
      </c>
      <c r="I10" s="30" t="str">
        <f t="shared" si="1"/>
        <v/>
      </c>
      <c r="J10" s="30" t="str">
        <f t="shared" si="1"/>
        <v/>
      </c>
      <c r="K10" s="30" t="str">
        <f t="shared" si="1"/>
        <v/>
      </c>
      <c r="L10" s="30" t="str">
        <f t="shared" si="1"/>
        <v/>
      </c>
      <c r="M10" s="30" t="str">
        <f t="shared" si="1"/>
        <v/>
      </c>
      <c r="N10" s="30" t="str">
        <f t="shared" si="1"/>
        <v/>
      </c>
      <c r="O10" s="30" t="str">
        <f t="shared" si="1"/>
        <v/>
      </c>
    </row>
    <row r="11" spans="1:15" x14ac:dyDescent="0.25">
      <c r="A11" s="30">
        <f t="shared" si="2"/>
        <v>9</v>
      </c>
      <c r="B11" s="30" t="s">
        <v>401</v>
      </c>
      <c r="C11" s="30">
        <f t="shared" si="3"/>
        <v>11</v>
      </c>
      <c r="D11" s="30" t="str">
        <f t="shared" si="1"/>
        <v/>
      </c>
      <c r="E11" s="30" t="str">
        <f t="shared" si="1"/>
        <v>This</v>
      </c>
      <c r="F11" s="30" t="str">
        <f t="shared" si="1"/>
        <v>test</v>
      </c>
      <c r="G11" s="30" t="str">
        <f t="shared" si="1"/>
        <v/>
      </c>
      <c r="H11" s="30" t="str">
        <f t="shared" si="1"/>
        <v>includes a little of this, and a little of that,</v>
      </c>
      <c r="I11" s="30" t="str">
        <f t="shared" si="1"/>
        <v/>
      </c>
      <c r="J11" s="30" t="str">
        <f t="shared" si="1"/>
        <v>to</v>
      </c>
      <c r="K11" s="30" t="str">
        <f t="shared" si="1"/>
        <v>push</v>
      </c>
      <c r="L11" s="30" t="str">
        <f t="shared" si="1"/>
        <v>the</v>
      </c>
      <c r="M11" s="30" t="str">
        <f t="shared" si="1"/>
        <v>routine to its limits.</v>
      </c>
      <c r="N11" s="30" t="str">
        <f t="shared" si="1"/>
        <v/>
      </c>
      <c r="O11" s="30" t="str">
        <f t="shared" si="1"/>
        <v/>
      </c>
    </row>
    <row r="12" spans="1:15" x14ac:dyDescent="0.25">
      <c r="A12" s="30">
        <f t="shared" si="2"/>
        <v>10</v>
      </c>
      <c r="B12" s="30" t="s">
        <v>402</v>
      </c>
      <c r="C12" s="30">
        <f t="shared" si="3"/>
        <v>3</v>
      </c>
      <c r="D12" s="30" t="str">
        <f t="shared" si="1"/>
        <v>CN=RapidSSL CA</v>
      </c>
      <c r="E12" s="30" t="str">
        <f t="shared" si="1"/>
        <v xml:space="preserve"> O="GeoTrust, Inc."</v>
      </c>
      <c r="F12" s="30" t="str">
        <f t="shared" si="1"/>
        <v xml:space="preserve"> C=US</v>
      </c>
      <c r="G12" s="30" t="str">
        <f t="shared" si="1"/>
        <v/>
      </c>
      <c r="H12" s="30" t="str">
        <f t="shared" si="1"/>
        <v/>
      </c>
      <c r="I12" s="30" t="str">
        <f t="shared" si="1"/>
        <v/>
      </c>
      <c r="J12" s="30" t="str">
        <f t="shared" si="1"/>
        <v/>
      </c>
      <c r="K12" s="30" t="str">
        <f t="shared" si="1"/>
        <v/>
      </c>
      <c r="L12" s="30" t="str">
        <f t="shared" si="1"/>
        <v/>
      </c>
      <c r="M12" s="30" t="str">
        <f t="shared" si="1"/>
        <v/>
      </c>
      <c r="N12" s="30" t="str">
        <f t="shared" si="1"/>
        <v/>
      </c>
      <c r="O12" s="30" t="str">
        <f t="shared" si="1"/>
        <v/>
      </c>
    </row>
  </sheetData>
  <mergeCells count="2">
    <mergeCell ref="A1:B1"/>
    <mergeCell ref="C1:O1"/>
  </mergeCells>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8" tint="-0.499984740745262"/>
  </sheetPr>
  <dimension ref="A1:D11"/>
  <sheetViews>
    <sheetView workbookViewId="0">
      <pane xSplit="2" ySplit="1" topLeftCell="C4" activePane="bottomRight" state="frozen"/>
      <selection pane="topRight" activeCell="C1" sqref="C1"/>
      <selection pane="bottomLeft" activeCell="A2" sqref="A2"/>
      <selection pane="bottomRight" activeCell="B7" sqref="B7"/>
    </sheetView>
  </sheetViews>
  <sheetFormatPr defaultRowHeight="15" x14ac:dyDescent="0.25"/>
  <cols>
    <col min="1" max="1" width="28.375" style="47" bestFit="1" customWidth="1"/>
    <col min="2" max="2" width="37.75" style="47" bestFit="1" customWidth="1"/>
    <col min="3" max="3" width="59.375" style="47" bestFit="1" customWidth="1"/>
    <col min="4" max="4" width="40.625" style="48" customWidth="1"/>
    <col min="5" max="5" width="37.75" style="47" bestFit="1" customWidth="1"/>
    <col min="6" max="16384" width="9" style="47"/>
  </cols>
  <sheetData>
    <row r="1" spans="1:4" ht="18" x14ac:dyDescent="0.25">
      <c r="A1" s="52" t="s">
        <v>593</v>
      </c>
      <c r="B1" s="53" t="s">
        <v>594</v>
      </c>
      <c r="C1" s="53" t="s">
        <v>405</v>
      </c>
      <c r="D1" s="54" t="s">
        <v>8</v>
      </c>
    </row>
    <row r="2" spans="1:4" ht="71.25" x14ac:dyDescent="0.25">
      <c r="A2" s="58" t="s">
        <v>592</v>
      </c>
      <c r="B2" s="59" t="s">
        <v>595</v>
      </c>
      <c r="C2" s="59" t="s">
        <v>596</v>
      </c>
      <c r="D2" s="60" t="s">
        <v>597</v>
      </c>
    </row>
    <row r="3" spans="1:4" ht="71.25" x14ac:dyDescent="0.25">
      <c r="A3" s="55" t="s">
        <v>592</v>
      </c>
      <c r="B3" s="56" t="s">
        <v>600</v>
      </c>
      <c r="C3" s="56" t="s">
        <v>598</v>
      </c>
      <c r="D3" s="57" t="s">
        <v>599</v>
      </c>
    </row>
    <row r="4" spans="1:4" ht="42.75" x14ac:dyDescent="0.25">
      <c r="A4" s="58" t="s">
        <v>592</v>
      </c>
      <c r="B4" s="59" t="s">
        <v>601</v>
      </c>
      <c r="C4" s="59" t="s">
        <v>602</v>
      </c>
      <c r="D4" s="60" t="s">
        <v>603</v>
      </c>
    </row>
    <row r="5" spans="1:4" ht="85.5" x14ac:dyDescent="0.25">
      <c r="A5" s="55" t="s">
        <v>592</v>
      </c>
      <c r="B5" s="56" t="s">
        <v>604</v>
      </c>
      <c r="C5" s="56" t="s">
        <v>605</v>
      </c>
      <c r="D5" s="57" t="s">
        <v>606</v>
      </c>
    </row>
    <row r="6" spans="1:4" ht="57" x14ac:dyDescent="0.25">
      <c r="A6" s="58" t="s">
        <v>592</v>
      </c>
      <c r="B6" s="59" t="s">
        <v>607</v>
      </c>
      <c r="C6" s="59" t="s">
        <v>608</v>
      </c>
      <c r="D6" s="60" t="s">
        <v>609</v>
      </c>
    </row>
    <row r="7" spans="1:4" ht="57" x14ac:dyDescent="0.25">
      <c r="A7" s="55" t="s">
        <v>592</v>
      </c>
      <c r="B7" s="56" t="s">
        <v>610</v>
      </c>
      <c r="C7" s="56" t="s">
        <v>611</v>
      </c>
      <c r="D7" s="57" t="s">
        <v>612</v>
      </c>
    </row>
    <row r="8" spans="1:4" ht="42.75" x14ac:dyDescent="0.25">
      <c r="A8" s="58" t="s">
        <v>613</v>
      </c>
      <c r="B8" s="59" t="s">
        <v>614</v>
      </c>
      <c r="C8" s="59" t="s">
        <v>618</v>
      </c>
      <c r="D8" s="60" t="s">
        <v>620</v>
      </c>
    </row>
    <row r="9" spans="1:4" ht="28.5" x14ac:dyDescent="0.25">
      <c r="A9" s="55" t="s">
        <v>616</v>
      </c>
      <c r="B9" s="56" t="s">
        <v>615</v>
      </c>
      <c r="C9" s="56" t="s">
        <v>617</v>
      </c>
      <c r="D9" s="57" t="s">
        <v>619</v>
      </c>
    </row>
    <row r="10" spans="1:4" x14ac:dyDescent="0.25">
      <c r="A10" s="49" t="s">
        <v>623</v>
      </c>
      <c r="B10" s="59" t="s">
        <v>621</v>
      </c>
      <c r="C10" s="50" t="s">
        <v>622</v>
      </c>
      <c r="D10" s="51"/>
    </row>
    <row r="11" spans="1:4" x14ac:dyDescent="0.25">
      <c r="B11" s="61" t="s">
        <v>627</v>
      </c>
    </row>
  </sheetData>
  <conditionalFormatting sqref="B3 B5 B7 B9">
    <cfRule type="expression" dxfId="1" priority="2">
      <formula>COUNTIF(GUIDs,B3)&gt;1</formula>
    </cfRule>
  </conditionalFormatting>
  <conditionalFormatting sqref="B2 B4 B6 B8 B10">
    <cfRule type="expression" dxfId="0" priority="1">
      <formula>COUNTIF(GUIDs,B2)&gt;1</formula>
    </cfRule>
  </conditionalFormatting>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10"/>
  <sheetViews>
    <sheetView workbookViewId="0"/>
  </sheetViews>
  <sheetFormatPr defaultRowHeight="15" x14ac:dyDescent="0.25"/>
  <cols>
    <col min="1" max="1" width="57.75" bestFit="1" customWidth="1"/>
    <col min="2" max="2" width="31.625" bestFit="1" customWidth="1"/>
    <col min="3" max="3" width="40.625" customWidth="1"/>
    <col min="4" max="4" width="22.25" customWidth="1"/>
    <col min="6" max="6" width="20.125" bestFit="1" customWidth="1"/>
  </cols>
  <sheetData>
    <row r="1" spans="1:6" ht="18" x14ac:dyDescent="0.25">
      <c r="A1" s="62" t="s">
        <v>631</v>
      </c>
      <c r="B1" s="62" t="s">
        <v>632</v>
      </c>
      <c r="C1" s="62" t="s">
        <v>633</v>
      </c>
      <c r="D1" s="62" t="s">
        <v>635</v>
      </c>
      <c r="E1" s="63" t="s">
        <v>144</v>
      </c>
      <c r="F1" s="62" t="s">
        <v>634</v>
      </c>
    </row>
    <row r="2" spans="1:6" ht="85.5" x14ac:dyDescent="0.25">
      <c r="A2" s="68" t="s">
        <v>630</v>
      </c>
      <c r="B2" s="64" t="str">
        <f>IF(ISBLANK(A2),"",[1]!GetFolder(A2))</f>
        <v>C:\Users\DAVE\Documents\Programming\VBA_Code_Library</v>
      </c>
      <c r="C2" s="64" t="str">
        <f>IF(ISBLANK(A2),"",[1]!GetFile(A2))</f>
        <v>SpecialFormats_WW.BAS</v>
      </c>
      <c r="D2" s="65" t="s">
        <v>636</v>
      </c>
      <c r="E2" s="66">
        <f>IF(ISBLANK(A2),"",[1]!lngFileSize(A2))</f>
        <v>24774</v>
      </c>
      <c r="F2" s="67">
        <f>IF(ISBLANK(A2),"",[1]!dtmFileDateInfo(A2))</f>
        <v>39705.960486111115</v>
      </c>
    </row>
    <row r="3" spans="1:6" ht="99.75" x14ac:dyDescent="0.25">
      <c r="A3" s="64" t="s">
        <v>638</v>
      </c>
      <c r="B3" s="64" t="str">
        <f>IF(ISBLANK(A3),"",[1]!GetFolder(A3))</f>
        <v>C:\Users\DAVE\Documents\Programming\VBA_Code_Library</v>
      </c>
      <c r="C3" s="64" t="str">
        <f>IF(ISBLANK(A3),"",[1]!GetFile(A3))</f>
        <v>VBAStringLib_WW.BAS</v>
      </c>
      <c r="D3" s="65" t="s">
        <v>637</v>
      </c>
      <c r="E3" s="66">
        <f>IF(ISBLANK(A3),"",[1]!lngFileSize(A3))</f>
        <v>13092</v>
      </c>
      <c r="F3" s="67">
        <f>IF(ISBLANK(A3),"",[1]!dtmFileDateInfo(A3))</f>
        <v>42644.628055555557</v>
      </c>
    </row>
    <row r="4" spans="1:6" ht="99.75" x14ac:dyDescent="0.25">
      <c r="A4" s="64" t="s">
        <v>639</v>
      </c>
      <c r="B4" s="64" t="str">
        <f>IF(ISBLANK(A4),"",[1]!GetFolder(A4))</f>
        <v>C:\Users\DAVE\Documents\Programming\VBA_Code_Library\Excel\TimeSheet</v>
      </c>
      <c r="C4" s="64" t="str">
        <f>IF(ISBLANK(A4),"",[1]!GetFile(A4))</f>
        <v>XLSUtils_P6C.bas</v>
      </c>
      <c r="D4" s="65" t="s">
        <v>640</v>
      </c>
      <c r="E4" s="66">
        <f>IF(ISBLANK(A4),"",[1]!lngFileSize(A4))</f>
        <v>28761</v>
      </c>
      <c r="F4" s="67">
        <f>IF(ISBLANK(A4),"",[1]!dtmFileDateInfo(A4))</f>
        <v>40936.038472222222</v>
      </c>
    </row>
    <row r="5" spans="1:6" ht="28.5" x14ac:dyDescent="0.25">
      <c r="A5" s="64" t="s">
        <v>278</v>
      </c>
      <c r="B5" s="64" t="str">
        <f>IF(ISBLANK(A5),"",[1]!GetFolder(A5))</f>
        <v>C:\Users\DAVE\Documents\Programming\VBScript</v>
      </c>
      <c r="C5" s="64" t="str">
        <f>IF(ISBLANK(A5),"",[1]!GetFile(A5))</f>
        <v>Common.vbs</v>
      </c>
      <c r="D5" s="65" t="s">
        <v>641</v>
      </c>
      <c r="E5" s="66">
        <f>IF(ISBLANK(A5),"",[1]!lngFileSize(A5))</f>
        <v>39084</v>
      </c>
      <c r="F5" s="67">
        <f>IF(ISBLANK(A5),"",[1]!dtmFileDateInfo(A5))</f>
        <v>42344.743611111109</v>
      </c>
    </row>
    <row r="6" spans="1:6" x14ac:dyDescent="0.25">
      <c r="A6" s="64"/>
      <c r="B6" s="64" t="str">
        <f>IF(ISBLANK(A6),"",[1]!GetFolder(A6))</f>
        <v/>
      </c>
      <c r="C6" s="64" t="str">
        <f>IF(ISBLANK(A6),"",[1]!GetFile(A6))</f>
        <v/>
      </c>
      <c r="D6" s="65"/>
      <c r="E6" s="66" t="str">
        <f>IF(ISBLANK(A6),"",[1]!lngFileSize(A6))</f>
        <v/>
      </c>
      <c r="F6" s="67" t="str">
        <f>IF(ISBLANK(A6),"",[1]!dtmFileDateInfo(A6))</f>
        <v/>
      </c>
    </row>
    <row r="7" spans="1:6" x14ac:dyDescent="0.25">
      <c r="A7" s="64"/>
      <c r="B7" s="64" t="str">
        <f>IF(ISBLANK(A7),"",[1]!GetFolder(A7))</f>
        <v/>
      </c>
      <c r="C7" s="64" t="str">
        <f>IF(ISBLANK(A7),"",[1]!GetFile(A7))</f>
        <v/>
      </c>
      <c r="D7" s="65"/>
      <c r="E7" s="66" t="str">
        <f>IF(ISBLANK(A7),"",[1]!lngFileSize(A7))</f>
        <v/>
      </c>
      <c r="F7" s="67" t="str">
        <f>IF(ISBLANK(A7),"",[1]!dtmFileDateInfo(A7))</f>
        <v/>
      </c>
    </row>
    <row r="8" spans="1:6" x14ac:dyDescent="0.25">
      <c r="A8" s="64"/>
      <c r="B8" s="64" t="str">
        <f>IF(ISBLANK(A8),"",[1]!GetFolder(A8))</f>
        <v/>
      </c>
      <c r="C8" s="64" t="str">
        <f>IF(ISBLANK(A8),"",[1]!GetFile(A8))</f>
        <v/>
      </c>
      <c r="D8" s="65"/>
      <c r="E8" s="66" t="str">
        <f>IF(ISBLANK(A8),"",[1]!lngFileSize(A8))</f>
        <v/>
      </c>
      <c r="F8" s="67" t="str">
        <f>IF(ISBLANK(A8),"",[1]!dtmFileDateInfo(A8))</f>
        <v/>
      </c>
    </row>
    <row r="9" spans="1:6" x14ac:dyDescent="0.25">
      <c r="A9" s="64"/>
      <c r="B9" s="64" t="str">
        <f>IF(ISBLANK(A9),"",[1]!GetFolder(A9))</f>
        <v/>
      </c>
      <c r="C9" s="64" t="str">
        <f>IF(ISBLANK(A9),"",[1]!GetFile(A9))</f>
        <v/>
      </c>
      <c r="D9" s="65"/>
      <c r="E9" s="66" t="str">
        <f>IF(ISBLANK(A9),"",[1]!lngFileSize(A9))</f>
        <v/>
      </c>
      <c r="F9" s="67" t="str">
        <f>IF(ISBLANK(A9),"",[1]!dtmFileDateInfo(A9))</f>
        <v/>
      </c>
    </row>
    <row r="10" spans="1:6" x14ac:dyDescent="0.25">
      <c r="A10" s="64"/>
      <c r="B10" s="64" t="str">
        <f>IF(ISBLANK(A10),"",[1]!GetFolder(A10))</f>
        <v/>
      </c>
      <c r="C10" s="64" t="str">
        <f>IF(ISBLANK(A10),"",[1]!GetFile(A10))</f>
        <v/>
      </c>
      <c r="D10" s="65"/>
      <c r="E10" s="66" t="str">
        <f>IF(ISBLANK(A10),"",[1]!lngFileSize(A10))</f>
        <v/>
      </c>
      <c r="F10" s="67" t="str">
        <f>IF(ISBLANK(A10),"",[1]!dtmFileDateInfo(A10))</f>
        <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6"/>
  <sheetViews>
    <sheetView workbookViewId="0"/>
  </sheetViews>
  <sheetFormatPr defaultRowHeight="15" x14ac:dyDescent="0.25"/>
  <cols>
    <col min="1" max="1" width="20.5" style="70" bestFit="1" customWidth="1"/>
    <col min="2" max="2" width="6.75" style="70" bestFit="1" customWidth="1"/>
    <col min="3" max="3" width="6.875" style="70" bestFit="1" customWidth="1"/>
    <col min="4" max="4" width="9.875" style="70" bestFit="1" customWidth="1"/>
    <col min="5" max="5" width="58.625" style="70" bestFit="1" customWidth="1"/>
    <col min="6" max="6" width="21.875" style="70" bestFit="1" customWidth="1"/>
    <col min="7" max="16384" width="9" style="70"/>
  </cols>
  <sheetData>
    <row r="1" spans="1:6" ht="15.75" x14ac:dyDescent="0.25">
      <c r="A1" s="69" t="s">
        <v>642</v>
      </c>
      <c r="B1" s="69" t="s">
        <v>462</v>
      </c>
      <c r="C1" s="69" t="s">
        <v>533</v>
      </c>
      <c r="D1" s="69" t="s">
        <v>643</v>
      </c>
      <c r="E1" s="69" t="s">
        <v>644</v>
      </c>
      <c r="F1" s="69" t="s">
        <v>645</v>
      </c>
    </row>
    <row r="2" spans="1:6" x14ac:dyDescent="0.25">
      <c r="A2" s="71" t="s">
        <v>646</v>
      </c>
      <c r="B2" s="71">
        <v>0</v>
      </c>
      <c r="C2" s="71" t="str">
        <f>IF(ISBLANK(B2),"",CONCATENATE("0x",DEC2HEX(B2,4)))</f>
        <v>0x0000</v>
      </c>
      <c r="D2" s="71" t="str">
        <f>IF(ISBLANK(B2),"",DEC2BIN(B2,9))</f>
        <v>000000000</v>
      </c>
      <c r="E2" s="72" t="s">
        <v>647</v>
      </c>
      <c r="F2" s="71" t="str">
        <f>IF(ISBLANK(A2),"",A2)</f>
        <v>vbEmpty</v>
      </c>
    </row>
    <row r="3" spans="1:6" x14ac:dyDescent="0.25">
      <c r="A3" s="73"/>
      <c r="B3" s="73"/>
      <c r="C3" s="73" t="str">
        <f t="shared" ref="C3:C24" si="0">IF(ISBLANK(B3),"",CONCATENATE("0x",DEC2HEX(B3,4)))</f>
        <v/>
      </c>
      <c r="D3" s="73" t="str">
        <f t="shared" ref="D3:D24" si="1">IF(ISBLANK(B3),"",DEC2BIN(B3,9))</f>
        <v/>
      </c>
      <c r="E3" s="74"/>
      <c r="F3" s="73" t="str">
        <f t="shared" ref="F3:F24" si="2">IF(ISBLANK(A3),"",A3)</f>
        <v/>
      </c>
    </row>
    <row r="4" spans="1:6" x14ac:dyDescent="0.25">
      <c r="A4" s="71" t="s">
        <v>648</v>
      </c>
      <c r="B4" s="71">
        <v>1</v>
      </c>
      <c r="C4" s="71" t="str">
        <f t="shared" si="0"/>
        <v>0x0001</v>
      </c>
      <c r="D4" s="71" t="str">
        <f t="shared" si="1"/>
        <v>000000001</v>
      </c>
      <c r="E4" s="72" t="s">
        <v>649</v>
      </c>
      <c r="F4" s="71" t="str">
        <f t="shared" si="2"/>
        <v>vbNull</v>
      </c>
    </row>
    <row r="5" spans="1:6" x14ac:dyDescent="0.25">
      <c r="A5" s="73"/>
      <c r="B5" s="73"/>
      <c r="C5" s="73" t="str">
        <f t="shared" si="0"/>
        <v/>
      </c>
      <c r="D5" s="73" t="str">
        <f t="shared" si="1"/>
        <v/>
      </c>
      <c r="E5" s="74"/>
      <c r="F5" s="73" t="str">
        <f t="shared" si="2"/>
        <v/>
      </c>
    </row>
    <row r="6" spans="1:6" x14ac:dyDescent="0.25">
      <c r="A6" s="71" t="s">
        <v>650</v>
      </c>
      <c r="B6" s="71">
        <v>2</v>
      </c>
      <c r="C6" s="71" t="str">
        <f t="shared" si="0"/>
        <v>0x0002</v>
      </c>
      <c r="D6" s="71" t="str">
        <f t="shared" si="1"/>
        <v>000000010</v>
      </c>
      <c r="E6" s="72" t="s">
        <v>651</v>
      </c>
      <c r="F6" s="71" t="str">
        <f t="shared" si="2"/>
        <v>vbInteger</v>
      </c>
    </row>
    <row r="7" spans="1:6" x14ac:dyDescent="0.25">
      <c r="A7" s="71" t="s">
        <v>652</v>
      </c>
      <c r="B7" s="71">
        <v>3</v>
      </c>
      <c r="C7" s="71" t="str">
        <f t="shared" si="0"/>
        <v>0x0003</v>
      </c>
      <c r="D7" s="71" t="str">
        <f t="shared" si="1"/>
        <v>000000011</v>
      </c>
      <c r="E7" s="72" t="s">
        <v>653</v>
      </c>
      <c r="F7" s="71" t="str">
        <f t="shared" si="2"/>
        <v>vbLong</v>
      </c>
    </row>
    <row r="8" spans="1:6" x14ac:dyDescent="0.25">
      <c r="A8" s="71" t="s">
        <v>654</v>
      </c>
      <c r="B8" s="71">
        <v>4</v>
      </c>
      <c r="C8" s="71" t="str">
        <f t="shared" si="0"/>
        <v>0x0004</v>
      </c>
      <c r="D8" s="71" t="str">
        <f t="shared" si="1"/>
        <v>000000100</v>
      </c>
      <c r="E8" s="72" t="s">
        <v>655</v>
      </c>
      <c r="F8" s="71" t="str">
        <f t="shared" si="2"/>
        <v>vbSingle</v>
      </c>
    </row>
    <row r="9" spans="1:6" x14ac:dyDescent="0.25">
      <c r="A9" s="71" t="s">
        <v>656</v>
      </c>
      <c r="B9" s="71">
        <v>5</v>
      </c>
      <c r="C9" s="71" t="str">
        <f t="shared" si="0"/>
        <v>0x0005</v>
      </c>
      <c r="D9" s="71" t="str">
        <f t="shared" si="1"/>
        <v>000000101</v>
      </c>
      <c r="E9" s="72" t="s">
        <v>657</v>
      </c>
      <c r="F9" s="71" t="str">
        <f t="shared" si="2"/>
        <v>vbDouble</v>
      </c>
    </row>
    <row r="10" spans="1:6" x14ac:dyDescent="0.25">
      <c r="A10" s="71" t="s">
        <v>658</v>
      </c>
      <c r="B10" s="71">
        <v>6</v>
      </c>
      <c r="C10" s="71" t="str">
        <f t="shared" si="0"/>
        <v>0x0006</v>
      </c>
      <c r="D10" s="71" t="str">
        <f t="shared" si="1"/>
        <v>000000110</v>
      </c>
      <c r="E10" s="72" t="s">
        <v>659</v>
      </c>
      <c r="F10" s="71" t="str">
        <f t="shared" si="2"/>
        <v>vbCurrency</v>
      </c>
    </row>
    <row r="11" spans="1:6" x14ac:dyDescent="0.25">
      <c r="A11" s="71" t="s">
        <v>660</v>
      </c>
      <c r="B11" s="71">
        <v>7</v>
      </c>
      <c r="C11" s="71" t="str">
        <f t="shared" si="0"/>
        <v>0x0007</v>
      </c>
      <c r="D11" s="71" t="str">
        <f t="shared" si="1"/>
        <v>000000111</v>
      </c>
      <c r="E11" s="72" t="s">
        <v>661</v>
      </c>
      <c r="F11" s="71" t="str">
        <f t="shared" si="2"/>
        <v>vbDate</v>
      </c>
    </row>
    <row r="12" spans="1:6" x14ac:dyDescent="0.25">
      <c r="A12" s="71" t="s">
        <v>662</v>
      </c>
      <c r="B12" s="71">
        <v>8</v>
      </c>
      <c r="C12" s="71" t="str">
        <f t="shared" si="0"/>
        <v>0x0008</v>
      </c>
      <c r="D12" s="71" t="str">
        <f t="shared" si="1"/>
        <v>000001000</v>
      </c>
      <c r="E12" s="72" t="s">
        <v>663</v>
      </c>
      <c r="F12" s="71" t="str">
        <f t="shared" si="2"/>
        <v>vbString</v>
      </c>
    </row>
    <row r="13" spans="1:6" x14ac:dyDescent="0.25">
      <c r="A13" s="71" t="s">
        <v>664</v>
      </c>
      <c r="B13" s="71">
        <v>9</v>
      </c>
      <c r="C13" s="71" t="str">
        <f t="shared" si="0"/>
        <v>0x0009</v>
      </c>
      <c r="D13" s="71" t="str">
        <f t="shared" si="1"/>
        <v>000001001</v>
      </c>
      <c r="E13" s="72" t="s">
        <v>665</v>
      </c>
      <c r="F13" s="71" t="str">
        <f t="shared" si="2"/>
        <v>vbObject</v>
      </c>
    </row>
    <row r="14" spans="1:6" x14ac:dyDescent="0.25">
      <c r="A14" s="71" t="s">
        <v>666</v>
      </c>
      <c r="B14" s="71">
        <v>10</v>
      </c>
      <c r="C14" s="71" t="str">
        <f t="shared" si="0"/>
        <v>0x000A</v>
      </c>
      <c r="D14" s="71" t="str">
        <f t="shared" si="1"/>
        <v>000001010</v>
      </c>
      <c r="E14" s="72" t="s">
        <v>667</v>
      </c>
      <c r="F14" s="71" t="str">
        <f t="shared" si="2"/>
        <v>vbError</v>
      </c>
    </row>
    <row r="15" spans="1:6" x14ac:dyDescent="0.25">
      <c r="A15" s="71" t="s">
        <v>668</v>
      </c>
      <c r="B15" s="71">
        <v>11</v>
      </c>
      <c r="C15" s="71" t="str">
        <f t="shared" si="0"/>
        <v>0x000B</v>
      </c>
      <c r="D15" s="71" t="str">
        <f t="shared" si="1"/>
        <v>000001011</v>
      </c>
      <c r="E15" s="72" t="s">
        <v>669</v>
      </c>
      <c r="F15" s="71" t="str">
        <f t="shared" si="2"/>
        <v>vbBoolean</v>
      </c>
    </row>
    <row r="16" spans="1:6" x14ac:dyDescent="0.25">
      <c r="A16" s="71" t="s">
        <v>670</v>
      </c>
      <c r="B16" s="71">
        <v>12</v>
      </c>
      <c r="C16" s="71" t="str">
        <f t="shared" si="0"/>
        <v>0x000C</v>
      </c>
      <c r="D16" s="71" t="str">
        <f t="shared" si="1"/>
        <v>000001100</v>
      </c>
      <c r="E16" s="72" t="s">
        <v>671</v>
      </c>
      <c r="F16" s="71" t="str">
        <f t="shared" si="2"/>
        <v>vbVariant</v>
      </c>
    </row>
    <row r="17" spans="1:6" x14ac:dyDescent="0.25">
      <c r="A17" s="73"/>
      <c r="B17" s="73"/>
      <c r="C17" s="73" t="str">
        <f t="shared" si="0"/>
        <v/>
      </c>
      <c r="D17" s="73" t="str">
        <f t="shared" si="1"/>
        <v/>
      </c>
      <c r="E17" s="74"/>
      <c r="F17" s="73" t="str">
        <f t="shared" si="2"/>
        <v/>
      </c>
    </row>
    <row r="18" spans="1:6" x14ac:dyDescent="0.25">
      <c r="A18" s="71" t="s">
        <v>672</v>
      </c>
      <c r="B18" s="71">
        <v>13</v>
      </c>
      <c r="C18" s="71" t="str">
        <f t="shared" si="0"/>
        <v>0x000D</v>
      </c>
      <c r="D18" s="71" t="str">
        <f t="shared" si="1"/>
        <v>000001101</v>
      </c>
      <c r="E18" s="72" t="s">
        <v>673</v>
      </c>
      <c r="F18" s="71" t="str">
        <f t="shared" si="2"/>
        <v>vbDataObject</v>
      </c>
    </row>
    <row r="19" spans="1:6" x14ac:dyDescent="0.25">
      <c r="A19" s="71" t="s">
        <v>674</v>
      </c>
      <c r="B19" s="71">
        <v>14</v>
      </c>
      <c r="C19" s="71" t="str">
        <f t="shared" si="0"/>
        <v>0x000E</v>
      </c>
      <c r="D19" s="71" t="str">
        <f t="shared" si="1"/>
        <v>000001110</v>
      </c>
      <c r="E19" s="72" t="s">
        <v>675</v>
      </c>
      <c r="F19" s="71" t="str">
        <f t="shared" si="2"/>
        <v>vbDecimal</v>
      </c>
    </row>
    <row r="20" spans="1:6" x14ac:dyDescent="0.25">
      <c r="A20" s="71" t="s">
        <v>676</v>
      </c>
      <c r="B20" s="71">
        <v>17</v>
      </c>
      <c r="C20" s="71" t="str">
        <f t="shared" si="0"/>
        <v>0x0011</v>
      </c>
      <c r="D20" s="71" t="str">
        <f t="shared" si="1"/>
        <v>000010001</v>
      </c>
      <c r="E20" s="72" t="s">
        <v>677</v>
      </c>
      <c r="F20" s="71" t="str">
        <f t="shared" si="2"/>
        <v>vbByte</v>
      </c>
    </row>
    <row r="21" spans="1:6" x14ac:dyDescent="0.25">
      <c r="A21" s="71" t="s">
        <v>678</v>
      </c>
      <c r="B21" s="71">
        <v>20</v>
      </c>
      <c r="C21" s="71" t="str">
        <f t="shared" si="0"/>
        <v>0x0014</v>
      </c>
      <c r="D21" s="71" t="str">
        <f t="shared" si="1"/>
        <v>000010100</v>
      </c>
      <c r="E21" s="72" t="s">
        <v>679</v>
      </c>
      <c r="F21" s="71" t="str">
        <f t="shared" si="2"/>
        <v>vbLongLong</v>
      </c>
    </row>
    <row r="22" spans="1:6" x14ac:dyDescent="0.25">
      <c r="A22" s="73"/>
      <c r="B22" s="73"/>
      <c r="C22" s="73" t="str">
        <f t="shared" si="0"/>
        <v/>
      </c>
      <c r="D22" s="73" t="str">
        <f t="shared" si="1"/>
        <v/>
      </c>
      <c r="E22" s="74"/>
      <c r="F22" s="73" t="str">
        <f t="shared" si="2"/>
        <v/>
      </c>
    </row>
    <row r="23" spans="1:6" x14ac:dyDescent="0.25">
      <c r="A23" s="71" t="s">
        <v>680</v>
      </c>
      <c r="B23" s="71">
        <v>36</v>
      </c>
      <c r="C23" s="71" t="str">
        <f t="shared" si="0"/>
        <v>0x0024</v>
      </c>
      <c r="D23" s="71" t="str">
        <f t="shared" si="1"/>
        <v>000100100</v>
      </c>
      <c r="E23" s="72" t="s">
        <v>681</v>
      </c>
      <c r="F23" s="71" t="str">
        <f t="shared" si="2"/>
        <v>vbUserDefinedType</v>
      </c>
    </row>
    <row r="24" spans="1:6" x14ac:dyDescent="0.25">
      <c r="A24" s="71" t="s">
        <v>682</v>
      </c>
      <c r="B24" s="71">
        <v>8192</v>
      </c>
      <c r="C24" s="71" t="str">
        <f t="shared" si="0"/>
        <v>0x2000</v>
      </c>
      <c r="D24" s="71" t="e">
        <f t="shared" si="1"/>
        <v>#NUM!</v>
      </c>
      <c r="E24" s="72" t="s">
        <v>683</v>
      </c>
      <c r="F24" s="71" t="str">
        <f t="shared" si="2"/>
        <v>vbArray</v>
      </c>
    </row>
    <row r="26" spans="1:6" x14ac:dyDescent="0.25">
      <c r="F26" s="70" t="str">
        <f>VLOOKUP(2,VariantSubtypeConstants_ByDecValue_Details,MATCH("VBA Constant Name",VariantSubtypeConstants_ByDecValue_Labels,0),FALSE)</f>
        <v>vbInteger</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23</vt:i4>
      </vt:variant>
    </vt:vector>
  </HeadingPairs>
  <TitlesOfParts>
    <vt:vector size="36" baseType="lpstr">
      <vt:lpstr>Index</vt:lpstr>
      <vt:lpstr>_Index of Named Ranges</vt:lpstr>
      <vt:lpstr>Check List</vt:lpstr>
      <vt:lpstr>AnyCSV Character Constants</vt:lpstr>
      <vt:lpstr>AnyCSV Resource Strings</vt:lpstr>
      <vt:lpstr>Formats for Equals and ToString</vt:lpstr>
      <vt:lpstr>Inventory_WizardWrx_DLLServices</vt:lpstr>
      <vt:lpstr>Inventory_VisualBasic Scripts</vt:lpstr>
      <vt:lpstr>AssemblyPropertyViewer Interfac</vt:lpstr>
      <vt:lpstr>AnyCSV Test Cases</vt:lpstr>
      <vt:lpstr>GUID Dictionary</vt:lpstr>
      <vt:lpstr>Inventory VBA Module</vt:lpstr>
      <vt:lpstr>Variant Subtype Constants</vt:lpstr>
      <vt:lpstr>__Workbook_Index</vt:lpstr>
      <vt:lpstr>Character_Type</vt:lpstr>
      <vt:lpstr>Character_Type_Prefix_Labels</vt:lpstr>
      <vt:lpstr>Character_Type_Prefix_Values</vt:lpstr>
      <vt:lpstr>EQUALS_TEMPLATE</vt:lpstr>
      <vt:lpstr>GUIDs</vt:lpstr>
      <vt:lpstr>Managed_Resource_String_Property_Labels</vt:lpstr>
      <vt:lpstr>Managed_Resource_String_Property_Values</vt:lpstr>
      <vt:lpstr>'Formats for Equals and ToString'!Maxium_Property_Label_Length</vt:lpstr>
      <vt:lpstr>Newest_DllServices_Config</vt:lpstr>
      <vt:lpstr>'Formats for Equals and ToString'!Newline_Format_Item_Index</vt:lpstr>
      <vt:lpstr>'Formats for Equals and ToString'!Property_Item_Indices</vt:lpstr>
      <vt:lpstr>'Formats for Equals and ToString'!Property_Label_Lengths</vt:lpstr>
      <vt:lpstr>Status_Choices</vt:lpstr>
      <vt:lpstr>Task_Notes_Directory</vt:lpstr>
      <vt:lpstr>Task_Notes_File</vt:lpstr>
      <vt:lpstr>TOSTRING_TEMPLATE</vt:lpstr>
      <vt:lpstr>VariantSubtypeConstants_ByDecValue_Details</vt:lpstr>
      <vt:lpstr>VariantSubtypeConstants_ByDecValue_Labels</vt:lpstr>
      <vt:lpstr>VariantSubtypeConstants_ByHexValue_Details</vt:lpstr>
      <vt:lpstr>VariantSubtypeConstants_ByHexValue_Labels</vt:lpstr>
      <vt:lpstr>VariantSubtypeConstants_BySymbolName_Details</vt:lpstr>
      <vt:lpstr>VariantSubtypeConstants_BySymbolName_Labels</vt:lpstr>
    </vt:vector>
  </TitlesOfParts>
  <Company>Simple Soft Services,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Development Worksheets</dc:title>
  <dc:subject>AnyCSV, version 4.0</dc:subject>
  <dc:creator>David A. Gray</dc:creator>
  <cp:lastModifiedBy>David A. Gray</cp:lastModifiedBy>
  <dcterms:created xsi:type="dcterms:W3CDTF">2013-10-12T17:21:37Z</dcterms:created>
  <dcterms:modified xsi:type="dcterms:W3CDTF">2016-10-16T16:32:40Z</dcterms:modified>
</cp:coreProperties>
</file>