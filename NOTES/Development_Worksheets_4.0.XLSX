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14640" windowHeight="7935" activeTab="4"/>
  </bookViews>
  <sheets>
    <sheet name="Index" sheetId="4" r:id="rId1"/>
    <sheet name="_Index of Named Ranges" sheetId="3" r:id="rId2"/>
    <sheet name="Check List" sheetId="1" r:id="rId3"/>
    <sheet name="Inventory_WizardWrx_DLLServices" sheetId="2" r:id="rId4"/>
    <sheet name="Inventory_VisualBasicScripts" sheetId="5" r:id="rId5"/>
  </sheets>
  <externalReferences>
    <externalReference r:id="rId6"/>
  </externalReferences>
  <definedNames>
    <definedName name="__Workbook_Index">Index!$A$1:$A$3</definedName>
    <definedName name="Newest_DllServices_Config">Inventory_WizardWrx_DLLServices!$D$2</definedName>
    <definedName name="Status_Choices">'Check List'!$A$2:$A$4</definedName>
    <definedName name="Task_Notes_Directory">'Check List'!$E$3</definedName>
    <definedName name="Task_Notes_File">'Check List'!$E$3</definedName>
  </definedNames>
  <calcPr calcId="145621"/>
</workbook>
</file>

<file path=xl/calcChain.xml><?xml version="1.0" encoding="utf-8"?>
<calcChain xmlns="http://schemas.openxmlformats.org/spreadsheetml/2006/main">
  <c r="D2" i="3" l="1"/>
  <c r="E2" i="3"/>
  <c r="D3" i="3"/>
  <c r="E3" i="3"/>
  <c r="D4" i="3"/>
  <c r="E4" i="3"/>
  <c r="D5" i="3"/>
  <c r="E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C9" i="3"/>
  <c r="D9" i="3"/>
  <c r="E9" i="3"/>
  <c r="F9" i="3"/>
  <c r="G9" i="3"/>
  <c r="H9" i="3"/>
  <c r="C10" i="3"/>
  <c r="D10" i="3"/>
  <c r="E10" i="3"/>
  <c r="F10" i="3"/>
  <c r="G10" i="3"/>
  <c r="H10" i="3"/>
  <c r="C11" i="3"/>
  <c r="D11" i="3"/>
  <c r="E11" i="3"/>
  <c r="F11" i="3"/>
  <c r="G11" i="3"/>
  <c r="H11" i="3"/>
  <c r="C12" i="3"/>
  <c r="D12" i="3"/>
  <c r="E12" i="3"/>
  <c r="F12" i="3"/>
  <c r="G12" i="3"/>
  <c r="H12" i="3"/>
  <c r="C13" i="3"/>
  <c r="D13" i="3"/>
  <c r="E13" i="3"/>
  <c r="F13" i="3"/>
  <c r="G13" i="3"/>
  <c r="H13" i="3"/>
  <c r="C14" i="3"/>
  <c r="D14" i="3"/>
  <c r="E14" i="3"/>
  <c r="F14" i="3"/>
  <c r="G14" i="3"/>
  <c r="H14" i="3"/>
  <c r="C15" i="3"/>
  <c r="D15" i="3"/>
  <c r="E15" i="3"/>
  <c r="F15" i="3"/>
  <c r="G15" i="3"/>
  <c r="H15" i="3"/>
  <c r="C16" i="3"/>
  <c r="D16" i="3"/>
  <c r="E16" i="3"/>
  <c r="F16" i="3"/>
  <c r="G16" i="3"/>
  <c r="H16" i="3"/>
  <c r="C17" i="3"/>
  <c r="D17" i="3"/>
  <c r="E17" i="3"/>
  <c r="F17" i="3"/>
  <c r="G17" i="3"/>
  <c r="H17" i="3"/>
  <c r="C18" i="3"/>
  <c r="D18" i="3"/>
  <c r="E18" i="3"/>
  <c r="F18" i="3"/>
  <c r="G18" i="3"/>
  <c r="H18" i="3"/>
  <c r="C19" i="3"/>
  <c r="D19" i="3"/>
  <c r="E19" i="3"/>
  <c r="F19" i="3"/>
  <c r="G19" i="3"/>
  <c r="H19" i="3"/>
  <c r="C20" i="3"/>
  <c r="D20" i="3"/>
  <c r="E20" i="3"/>
  <c r="F20" i="3"/>
  <c r="G20" i="3"/>
  <c r="H20" i="3"/>
  <c r="C21" i="3"/>
  <c r="D21" i="3"/>
  <c r="E21" i="3"/>
  <c r="F21" i="3"/>
  <c r="G21" i="3"/>
  <c r="H21" i="3"/>
  <c r="C22" i="3"/>
  <c r="D22" i="3"/>
  <c r="E22" i="3"/>
  <c r="F22" i="3"/>
  <c r="G22" i="3"/>
  <c r="H22" i="3"/>
  <c r="C224" i="5"/>
  <c r="C222" i="5"/>
  <c r="C220" i="5"/>
  <c r="C218" i="5"/>
  <c r="C216" i="5"/>
  <c r="C214" i="5"/>
  <c r="C212" i="5"/>
  <c r="C210" i="5"/>
  <c r="C208" i="5"/>
  <c r="C206" i="5"/>
  <c r="C204" i="5"/>
  <c r="C202" i="5"/>
  <c r="C200" i="5"/>
  <c r="C198" i="5"/>
  <c r="C196" i="5"/>
  <c r="C194" i="5"/>
  <c r="C192" i="5"/>
  <c r="C190" i="5"/>
  <c r="C188" i="5"/>
  <c r="C186" i="5"/>
  <c r="C184" i="5"/>
  <c r="C182" i="5"/>
  <c r="C180" i="5"/>
  <c r="C178" i="5"/>
  <c r="C176" i="5"/>
  <c r="C174" i="5"/>
  <c r="C172" i="5"/>
  <c r="C170" i="5"/>
  <c r="C168" i="5"/>
  <c r="C166" i="5"/>
  <c r="C164" i="5"/>
  <c r="C162" i="5"/>
  <c r="C160" i="5"/>
  <c r="C158" i="5"/>
  <c r="C156" i="5"/>
  <c r="C154" i="5"/>
  <c r="C152" i="5"/>
  <c r="C150" i="5"/>
  <c r="C148" i="5"/>
  <c r="C146" i="5"/>
  <c r="C144" i="5"/>
  <c r="C142" i="5"/>
  <c r="C140" i="5"/>
  <c r="C138" i="5"/>
  <c r="C136" i="5"/>
  <c r="C134" i="5"/>
  <c r="C223" i="5"/>
  <c r="C221" i="5"/>
  <c r="C219" i="5"/>
  <c r="C217" i="5"/>
  <c r="C215" i="5"/>
  <c r="C213" i="5"/>
  <c r="C211" i="5"/>
  <c r="C209" i="5"/>
  <c r="C207" i="5"/>
  <c r="C205" i="5"/>
  <c r="C203" i="5"/>
  <c r="C201" i="5"/>
  <c r="C199" i="5"/>
  <c r="C197" i="5"/>
  <c r="C195" i="5"/>
  <c r="C193" i="5"/>
  <c r="C191" i="5"/>
  <c r="C189" i="5"/>
  <c r="C187" i="5"/>
  <c r="C185" i="5"/>
  <c r="C183" i="5"/>
  <c r="C181" i="5"/>
  <c r="C179" i="5"/>
  <c r="C177" i="5"/>
  <c r="C175" i="5"/>
  <c r="C173" i="5"/>
  <c r="C171" i="5"/>
  <c r="C169" i="5"/>
  <c r="C167" i="5"/>
  <c r="C165" i="5"/>
  <c r="C163" i="5"/>
  <c r="C161" i="5"/>
  <c r="C159" i="5"/>
  <c r="C157" i="5"/>
  <c r="C155" i="5"/>
  <c r="C153" i="5"/>
  <c r="C151" i="5"/>
  <c r="C149" i="5"/>
  <c r="C147" i="5"/>
  <c r="C145" i="5"/>
  <c r="C143" i="5"/>
  <c r="C141" i="5"/>
  <c r="C139" i="5"/>
  <c r="C137" i="5"/>
  <c r="C135" i="5"/>
  <c r="C133" i="5"/>
  <c r="C131" i="5"/>
  <c r="C129" i="5"/>
  <c r="C127" i="5"/>
  <c r="C125" i="5"/>
  <c r="C123" i="5"/>
  <c r="C121" i="5"/>
  <c r="C119" i="5"/>
  <c r="C117" i="5"/>
  <c r="C115" i="5"/>
  <c r="C113" i="5"/>
  <c r="C111" i="5"/>
  <c r="C109" i="5"/>
  <c r="C107" i="5"/>
  <c r="C105" i="5"/>
  <c r="C103" i="5"/>
  <c r="C101" i="5"/>
  <c r="C99" i="5"/>
  <c r="C97" i="5"/>
  <c r="C95" i="5"/>
  <c r="C93" i="5"/>
  <c r="C91" i="5"/>
  <c r="C89" i="5"/>
  <c r="C87" i="5"/>
  <c r="C85" i="5"/>
  <c r="C83" i="5"/>
  <c r="C81" i="5"/>
  <c r="C79" i="5"/>
  <c r="C77" i="5"/>
  <c r="C75" i="5"/>
  <c r="C73" i="5"/>
  <c r="C71" i="5"/>
  <c r="C69" i="5"/>
  <c r="C67" i="5"/>
  <c r="C65" i="5"/>
  <c r="C63" i="5"/>
  <c r="C61" i="5"/>
  <c r="C59" i="5"/>
  <c r="C57" i="5"/>
  <c r="C55" i="5"/>
  <c r="C53" i="5"/>
  <c r="C51" i="5"/>
  <c r="C49" i="5"/>
  <c r="C47" i="5"/>
  <c r="C45" i="5"/>
  <c r="C43" i="5"/>
  <c r="C41" i="5"/>
  <c r="C39" i="5"/>
  <c r="C37" i="5"/>
  <c r="C35" i="5"/>
  <c r="C33" i="5"/>
  <c r="C31" i="5"/>
  <c r="C29" i="5"/>
  <c r="C27" i="5"/>
  <c r="C25" i="5"/>
  <c r="C23" i="5"/>
  <c r="C21" i="5"/>
  <c r="C19" i="5"/>
  <c r="C17" i="5"/>
  <c r="C15" i="5"/>
  <c r="C13" i="5"/>
  <c r="C11" i="5"/>
  <c r="C9" i="5"/>
  <c r="C7" i="5"/>
  <c r="C132" i="5"/>
  <c r="C128" i="5"/>
  <c r="C124" i="5"/>
  <c r="C120" i="5"/>
  <c r="C116" i="5"/>
  <c r="C112" i="5"/>
  <c r="C108" i="5"/>
  <c r="C104" i="5"/>
  <c r="C100" i="5"/>
  <c r="C96" i="5"/>
  <c r="C92" i="5"/>
  <c r="C88" i="5"/>
  <c r="C84" i="5"/>
  <c r="C80" i="5"/>
  <c r="C76" i="5"/>
  <c r="C72" i="5"/>
  <c r="C68" i="5"/>
  <c r="C64" i="5"/>
  <c r="C60" i="5"/>
  <c r="C56" i="5"/>
  <c r="C52" i="5"/>
  <c r="C48" i="5"/>
  <c r="C44" i="5"/>
  <c r="C40" i="5"/>
  <c r="C36" i="5"/>
  <c r="C32" i="5"/>
  <c r="C28" i="5"/>
  <c r="C24" i="5"/>
  <c r="C20" i="5"/>
  <c r="C16" i="5"/>
  <c r="C12" i="5"/>
  <c r="C8" i="5"/>
  <c r="C5" i="5"/>
  <c r="C3" i="5"/>
  <c r="C130" i="5"/>
  <c r="C126" i="5"/>
  <c r="C122" i="5"/>
  <c r="C118" i="5"/>
  <c r="C114" i="5"/>
  <c r="C110" i="5"/>
  <c r="C106" i="5"/>
  <c r="C102" i="5"/>
  <c r="C98" i="5"/>
  <c r="C94" i="5"/>
  <c r="C90" i="5"/>
  <c r="C86" i="5"/>
  <c r="C82" i="5"/>
  <c r="C78" i="5"/>
  <c r="C74" i="5"/>
  <c r="C70" i="5"/>
  <c r="C66" i="5"/>
  <c r="C62" i="5"/>
  <c r="C58" i="5"/>
  <c r="C54" i="5"/>
  <c r="C50" i="5"/>
  <c r="C46" i="5"/>
  <c r="C42" i="5"/>
  <c r="C38" i="5"/>
  <c r="C34" i="5"/>
  <c r="C30" i="5"/>
  <c r="C26" i="5"/>
  <c r="C22" i="5"/>
  <c r="C18" i="5"/>
  <c r="C14" i="5"/>
  <c r="C10" i="5"/>
  <c r="C6" i="5"/>
  <c r="C4" i="5"/>
  <c r="C2" i="5"/>
  <c r="B224" i="5"/>
  <c r="B222" i="5"/>
  <c r="B220" i="5"/>
  <c r="B218" i="5"/>
  <c r="B216" i="5"/>
  <c r="B214" i="5"/>
  <c r="B212" i="5"/>
  <c r="B210" i="5"/>
  <c r="B208" i="5"/>
  <c r="B206" i="5"/>
  <c r="B204" i="5"/>
  <c r="B202" i="5"/>
  <c r="B200" i="5"/>
  <c r="B198" i="5"/>
  <c r="B196" i="5"/>
  <c r="B194" i="5"/>
  <c r="B192" i="5"/>
  <c r="B190" i="5"/>
  <c r="B188" i="5"/>
  <c r="B186" i="5"/>
  <c r="B184" i="5"/>
  <c r="B182" i="5"/>
  <c r="B180" i="5"/>
  <c r="B178" i="5"/>
  <c r="B176" i="5"/>
  <c r="B174" i="5"/>
  <c r="B172" i="5"/>
  <c r="B170" i="5"/>
  <c r="B168" i="5"/>
  <c r="B166" i="5"/>
  <c r="B164" i="5"/>
  <c r="B162" i="5"/>
  <c r="B160" i="5"/>
  <c r="B158" i="5"/>
  <c r="B156" i="5"/>
  <c r="B154" i="5"/>
  <c r="B152" i="5"/>
  <c r="B150" i="5"/>
  <c r="B148" i="5"/>
  <c r="B146" i="5"/>
  <c r="B144" i="5"/>
  <c r="B142" i="5"/>
  <c r="B140" i="5"/>
  <c r="B138" i="5"/>
  <c r="B136" i="5"/>
  <c r="B134" i="5"/>
  <c r="B132" i="5"/>
  <c r="B130" i="5"/>
  <c r="B128" i="5"/>
  <c r="B126" i="5"/>
  <c r="B124" i="5"/>
  <c r="B122" i="5"/>
  <c r="B120" i="5"/>
  <c r="B118" i="5"/>
  <c r="B116" i="5"/>
  <c r="B114" i="5"/>
  <c r="B223" i="5"/>
  <c r="B221" i="5"/>
  <c r="B219" i="5"/>
  <c r="B217" i="5"/>
  <c r="B215" i="5"/>
  <c r="B213" i="5"/>
  <c r="B211" i="5"/>
  <c r="B209" i="5"/>
  <c r="B207" i="5"/>
  <c r="B205" i="5"/>
  <c r="B203" i="5"/>
  <c r="B201" i="5"/>
  <c r="B199" i="5"/>
  <c r="B197" i="5"/>
  <c r="B195" i="5"/>
  <c r="B193" i="5"/>
  <c r="B191" i="5"/>
  <c r="B189" i="5"/>
  <c r="B187" i="5"/>
  <c r="B185" i="5"/>
  <c r="B183" i="5"/>
  <c r="B181" i="5"/>
  <c r="B179" i="5"/>
  <c r="B177" i="5"/>
  <c r="B175" i="5"/>
  <c r="B173" i="5"/>
  <c r="B171" i="5"/>
  <c r="B169" i="5"/>
  <c r="B167" i="5"/>
  <c r="B165" i="5"/>
  <c r="B163" i="5"/>
  <c r="B161" i="5"/>
  <c r="B159" i="5"/>
  <c r="B157" i="5"/>
  <c r="B155" i="5"/>
  <c r="B153" i="5"/>
  <c r="B151" i="5"/>
  <c r="B149" i="5"/>
  <c r="B147" i="5"/>
  <c r="B145" i="5"/>
  <c r="B143" i="5"/>
  <c r="B141" i="5"/>
  <c r="B139" i="5"/>
  <c r="B137" i="5"/>
  <c r="B135" i="5"/>
  <c r="B133" i="5"/>
  <c r="B131" i="5"/>
  <c r="B129" i="5"/>
  <c r="B127" i="5"/>
  <c r="B125" i="5"/>
  <c r="B123" i="5"/>
  <c r="B121" i="5"/>
  <c r="B119" i="5"/>
  <c r="B117" i="5"/>
  <c r="B115" i="5"/>
  <c r="B113" i="5"/>
  <c r="B111" i="5"/>
  <c r="B109" i="5"/>
  <c r="B107" i="5"/>
  <c r="B105" i="5"/>
  <c r="B103" i="5"/>
  <c r="B101" i="5"/>
  <c r="B99" i="5"/>
  <c r="B97" i="5"/>
  <c r="B95" i="5"/>
  <c r="B93" i="5"/>
  <c r="B91" i="5"/>
  <c r="B89" i="5"/>
  <c r="B87" i="5"/>
  <c r="B85" i="5"/>
  <c r="B83" i="5"/>
  <c r="B81" i="5"/>
  <c r="B79" i="5"/>
  <c r="B77" i="5"/>
  <c r="B75" i="5"/>
  <c r="B73" i="5"/>
  <c r="B71" i="5"/>
  <c r="B69" i="5"/>
  <c r="B67" i="5"/>
  <c r="B65" i="5"/>
  <c r="B63" i="5"/>
  <c r="B61" i="5"/>
  <c r="B59" i="5"/>
  <c r="B57" i="5"/>
  <c r="B55" i="5"/>
  <c r="B53" i="5"/>
  <c r="B51" i="5"/>
  <c r="B49" i="5"/>
  <c r="B47" i="5"/>
  <c r="B45" i="5"/>
  <c r="B43" i="5"/>
  <c r="B41" i="5"/>
  <c r="B39" i="5"/>
  <c r="B37" i="5"/>
  <c r="B35" i="5"/>
  <c r="B33" i="5"/>
  <c r="B31" i="5"/>
  <c r="B29" i="5"/>
  <c r="B27" i="5"/>
  <c r="B25" i="5"/>
  <c r="B23" i="5"/>
  <c r="B21" i="5"/>
  <c r="B19" i="5"/>
  <c r="B17" i="5"/>
  <c r="B15" i="5"/>
  <c r="B13" i="5"/>
  <c r="B11" i="5"/>
  <c r="B9" i="5"/>
  <c r="B7" i="5"/>
  <c r="B112" i="5"/>
  <c r="B108" i="5"/>
  <c r="B104" i="5"/>
  <c r="B100" i="5"/>
  <c r="B96" i="5"/>
  <c r="B92" i="5"/>
  <c r="B88" i="5"/>
  <c r="B84" i="5"/>
  <c r="B80" i="5"/>
  <c r="B76" i="5"/>
  <c r="B72" i="5"/>
  <c r="B68" i="5"/>
  <c r="B64" i="5"/>
  <c r="B60" i="5"/>
  <c r="B56" i="5"/>
  <c r="B52" i="5"/>
  <c r="B48" i="5"/>
  <c r="B44" i="5"/>
  <c r="B40" i="5"/>
  <c r="B36" i="5"/>
  <c r="B32" i="5"/>
  <c r="B28" i="5"/>
  <c r="B24" i="5"/>
  <c r="B20" i="5"/>
  <c r="B16" i="5"/>
  <c r="B12" i="5"/>
  <c r="B8" i="5"/>
  <c r="B5" i="5"/>
  <c r="B3" i="5"/>
  <c r="B110" i="5"/>
  <c r="B106" i="5"/>
  <c r="B102" i="5"/>
  <c r="B98" i="5"/>
  <c r="B94" i="5"/>
  <c r="B90" i="5"/>
  <c r="B86" i="5"/>
  <c r="B82" i="5"/>
  <c r="B78" i="5"/>
  <c r="B74" i="5"/>
  <c r="B70" i="5"/>
  <c r="B66" i="5"/>
  <c r="B62" i="5"/>
  <c r="B58" i="5"/>
  <c r="B54" i="5"/>
  <c r="B50" i="5"/>
  <c r="B46" i="5"/>
  <c r="B42" i="5"/>
  <c r="B38" i="5"/>
  <c r="B34" i="5"/>
  <c r="B30" i="5"/>
  <c r="B26" i="5"/>
  <c r="B22" i="5"/>
  <c r="B18" i="5"/>
  <c r="B14" i="5"/>
  <c r="B10" i="5"/>
  <c r="B6" i="5"/>
  <c r="B4" i="5"/>
  <c r="B2" i="5"/>
  <c r="C2" i="3"/>
  <c r="G2" i="3"/>
  <c r="C3" i="3"/>
  <c r="G3" i="3"/>
  <c r="C4" i="3"/>
  <c r="G4" i="3"/>
  <c r="C5" i="3"/>
  <c r="G5" i="3"/>
  <c r="F2" i="3"/>
  <c r="F3" i="3"/>
  <c r="F4" i="3"/>
  <c r="F5" i="3"/>
  <c r="H5" i="3" l="1"/>
  <c r="H4" i="3"/>
  <c r="H3" i="3"/>
  <c r="H2" i="3"/>
  <c r="A8" i="1"/>
  <c r="A9" i="1" s="1"/>
  <c r="A10" i="1" s="1"/>
  <c r="A11" i="1" s="1"/>
  <c r="A12" i="1" s="1"/>
  <c r="A7" i="1"/>
  <c r="B63" i="2"/>
  <c r="B72" i="2"/>
  <c r="B55" i="2"/>
  <c r="B51" i="2"/>
  <c r="B47" i="2"/>
  <c r="B112" i="2"/>
  <c r="B42" i="2"/>
  <c r="B38" i="2"/>
  <c r="B35" i="2"/>
  <c r="B31" i="2"/>
  <c r="B27" i="2"/>
  <c r="B23" i="2"/>
  <c r="B19" i="2"/>
  <c r="B13" i="2"/>
  <c r="B123" i="2"/>
  <c r="B119" i="2"/>
  <c r="B116" i="2"/>
  <c r="B106" i="2"/>
  <c r="B109" i="2"/>
  <c r="B114" i="2"/>
  <c r="B103" i="2"/>
  <c r="B10" i="2"/>
  <c r="B8" i="2"/>
  <c r="B6" i="2"/>
  <c r="B4" i="2"/>
  <c r="B66" i="2"/>
  <c r="B64" i="2"/>
  <c r="B62" i="2"/>
  <c r="B60" i="2"/>
  <c r="B101" i="2"/>
  <c r="B99" i="2"/>
  <c r="B97" i="2"/>
  <c r="B95" i="2"/>
  <c r="B93" i="2"/>
  <c r="B91" i="2"/>
  <c r="B89" i="2"/>
  <c r="B87" i="2"/>
  <c r="B85" i="2"/>
  <c r="B83" i="2"/>
  <c r="B81" i="2"/>
  <c r="B79" i="2"/>
  <c r="B77" i="2"/>
  <c r="B75" i="2"/>
  <c r="B73" i="2"/>
  <c r="B71" i="2"/>
  <c r="B69" i="2"/>
  <c r="B58" i="2"/>
  <c r="B56" i="2"/>
  <c r="B54" i="2"/>
  <c r="B52" i="2"/>
  <c r="B50" i="2"/>
  <c r="B48" i="2"/>
  <c r="B46" i="2"/>
  <c r="B113" i="2"/>
  <c r="B111" i="2"/>
  <c r="B43" i="2"/>
  <c r="B41" i="2"/>
  <c r="B39" i="2"/>
  <c r="B102" i="2"/>
  <c r="B36" i="2"/>
  <c r="B34" i="2"/>
  <c r="B32" i="2"/>
  <c r="B30" i="2"/>
  <c r="B28" i="2"/>
  <c r="B26" i="2"/>
  <c r="B24" i="2"/>
  <c r="B22" i="2"/>
  <c r="B20" i="2"/>
  <c r="B18" i="2"/>
  <c r="B16" i="2"/>
  <c r="B14" i="2"/>
  <c r="B12" i="2"/>
  <c r="B124" i="2"/>
  <c r="B122" i="2"/>
  <c r="B120" i="2"/>
  <c r="B118" i="2"/>
  <c r="B117" i="2"/>
  <c r="B115" i="2"/>
  <c r="B107" i="2"/>
  <c r="B105" i="2"/>
  <c r="B108" i="2"/>
  <c r="B104" i="2"/>
  <c r="B11" i="2"/>
  <c r="B9" i="2"/>
  <c r="B7" i="2"/>
  <c r="B5" i="2"/>
  <c r="B67" i="2"/>
  <c r="B65" i="2"/>
  <c r="B61" i="2"/>
  <c r="B59" i="2"/>
  <c r="B100" i="2"/>
  <c r="B98" i="2"/>
  <c r="B96" i="2"/>
  <c r="B94" i="2"/>
  <c r="B92" i="2"/>
  <c r="B90" i="2"/>
  <c r="B88" i="2"/>
  <c r="B86" i="2"/>
  <c r="B84" i="2"/>
  <c r="B82" i="2"/>
  <c r="B80" i="2"/>
  <c r="B78" i="2"/>
  <c r="B76" i="2"/>
  <c r="B74" i="2"/>
  <c r="B70" i="2"/>
  <c r="B68" i="2"/>
  <c r="B57" i="2"/>
  <c r="B53" i="2"/>
  <c r="B49" i="2"/>
  <c r="B45" i="2"/>
  <c r="B44" i="2"/>
  <c r="B40" i="2"/>
  <c r="B37" i="2"/>
  <c r="B33" i="2"/>
  <c r="B29" i="2"/>
  <c r="B25" i="2"/>
  <c r="B21" i="2"/>
  <c r="B17" i="2"/>
  <c r="B15" i="2"/>
  <c r="B3" i="2"/>
  <c r="B121" i="2"/>
  <c r="B110" i="2"/>
  <c r="B2" i="2"/>
</calcChain>
</file>

<file path=xl/sharedStrings.xml><?xml version="1.0" encoding="utf-8"?>
<sst xmlns="http://schemas.openxmlformats.org/spreadsheetml/2006/main" count="403" uniqueCount="394">
  <si>
    <t>Legend</t>
  </si>
  <si>
    <t>In Progress</t>
  </si>
  <si>
    <t>Ready to Test</t>
  </si>
  <si>
    <t>Done</t>
  </si>
  <si>
    <t>Step</t>
  </si>
  <si>
    <t>Name</t>
  </si>
  <si>
    <t>Action</t>
  </si>
  <si>
    <t>Reference</t>
  </si>
  <si>
    <t>Comment</t>
  </si>
  <si>
    <t>Status</t>
  </si>
  <si>
    <t>C:\Users\DAVE\Documents\Visual Studio 2013\Projects\WizardWrx_Libs\AnyCSV\NOTES\Development_Notes_4.0.TXT</t>
  </si>
  <si>
    <t>Task Notes Directory</t>
  </si>
  <si>
    <t>Task Notes File</t>
  </si>
  <si>
    <t>C:\Users\DAVE\Documents\Visual Studio 2013\Projects\WizardWrx_Libs\AnyCSV\NOTES\</t>
  </si>
  <si>
    <t>Register for COM Interop.</t>
  </si>
  <si>
    <t>Calling a .net library method from vba</t>
  </si>
  <si>
    <t>Add a reference to System.Runtime.InteropServices to the assembly references.</t>
  </si>
  <si>
    <t>Add a Using directive for System.Runtime.InteropServices to all classes.</t>
  </si>
  <si>
    <t>C:\UTIL\WizardWrx.DLLServices2.dll.config</t>
  </si>
  <si>
    <t>C:\Users\Public\Documents\NOLANB\_Installation_Packages\UTIL_Reference\WizardWrx.DLLServices2.dll.config</t>
  </si>
  <si>
    <t>C:\Users\Public\Documents\NOLANB\_Installation_Packages\Remote\2014\20141010\AI_PKG_400\WizardWrx.DLLServices2.dll.config</t>
  </si>
  <si>
    <t>C:\Users\Public\Documents\NOLANB\TASKS\_PTI_Gate_2016\UTIL_Rock_Hill\WizardWrx.DLLServices2.dll.config</t>
  </si>
  <si>
    <t>C:\Users\Public\Documents\NOLANB\TASKS\_EMV_Credit_Card_Processing\_Deliverables_Prep\UTIL_ZAPHOD42_20160309_085628\WizardWrx.DLLServices2.dll.config</t>
  </si>
  <si>
    <t>C:\Users\Public\Documents\NOLANB\TASKS\Corrupted_HO_Logbase\distribution\WizardWrx.DLLServices2.dll.config</t>
  </si>
  <si>
    <t>C:\Users\Public\Documents\H_DEASE\UTIL_from_ZAPHOD42\WizardWrx.DLLServices2.dll.config</t>
  </si>
  <si>
    <t>C:\Users\Public\Documents\H_DEASE\AI_PKG_400\WizardWrx.DLLServices2.dll.config</t>
  </si>
  <si>
    <t>C:\Users\DAVE\Documents\Visual Studio 2013\Projects\_Laboratory\TimeZoneLab\TimeZoneLab\bin\Release\WizardWrx.DLLServices2.dll.config</t>
  </si>
  <si>
    <t>C:\Users\DAVE\Documents\Visual Studio 2013\Projects\_Laboratory\TimeZoneLab\TimeZoneLab\bin\Debug\WizardWrx.DLLServices2.dll.config</t>
  </si>
  <si>
    <t>C:\Users\DAVE\Documents\Visual Studio 2013\Projects\_Laboratory\TimeZoneLab\TimeZoneLab\WizardWrx.DLLServices2.dll.config</t>
  </si>
  <si>
    <t>C:\Users\DAVE\Documents\Visual Studio 2013\Projects\_Laboratory\CSharp_Lab\CSharp_Lab\bin\x86\Debug\WizardWrx.DLLServices2.dll.config</t>
  </si>
  <si>
    <t>C:\Users\DAVE\Documents\Visual Studio 2013\Projects\_Laboratory\CSharp_Lab\CSharp_Lab\bin\Debug\WizardWrx.DLLServices2.dll.config</t>
  </si>
  <si>
    <t>C:\Users\DAVE\Documents\Visual Studio 2013\Projects\_Laboratory\CSharp_Lab\bin\x86\Debug\WizardWrx.DLLServices2.dll.config</t>
  </si>
  <si>
    <t>C:\Users\DAVE\Documents\Visual Studio 2013\Projects\_Laboratory\CSharp_Lab\bin\Debug\WizardWrx.DLLServices2.dll.config</t>
  </si>
  <si>
    <t>C:\Users\DAVE\Documents\Visual Studio 2013\Projects\_Laboratory\ConsoleOutputSpeedTest\ConsoleOutputSpeedTest\bin\Debug\WizardWrx.DLLServices2.dll.config</t>
  </si>
  <si>
    <t>C:\Users\DAVE\Documents\Visual Studio 2013\Projects\WizardWrx_Libs\_Deprecated_Libraries\ApplicationHelpers3\TestStand\bin\Release\WizardWrx.DLLServices2.dll.config</t>
  </si>
  <si>
    <t>C:\Users\DAVE\Documents\Visual Studio 2013\Projects\WizardWrx_Libs\_Deprecated_Libraries\ApplicationHelpers3\TestStand\bin\Debug\WizardWrx.DLLServices2.dll.config</t>
  </si>
  <si>
    <t>C:\Users\DAVE\Documents\Visual Studio 2013\Projects\WizardWrx_Libs\_Deprecated_Libraries\ApplicationHelpers3\TestStand\WizardWrx.DLLServices2.dll.config</t>
  </si>
  <si>
    <t>C:\Users\DAVE\Documents\Visual Studio 2013\Projects\WizardWrx_Libs\_Deprecated_Libraries\ApplicationHelpers2\ApplicationHelpers2TestHarness\ApplicationHelpers2TestHarness\bin\Release\WizardWrx.DLLServices2.dll.config</t>
  </si>
  <si>
    <t>C:\Users\DAVE\Documents\Visual Studio 2013\Projects\WizardWrx_Libs\_Deprecated_Libraries\ApplicationHelpers2\ApplicationHelpers2TestHarness\ApplicationHelpers2TestHarness\bin\Debug\WizardWrx.DLLServices2.dll.config</t>
  </si>
  <si>
    <t>C:\Users\DAVE\Documents\Visual Studio 2013\Projects\WizardWrx_Libs\_Deprecated_Libraries\ApplicationHelpers2\ApplicationHelpers2TestHarness\ApplicationHelpers2TestHarness\WizardWrx.DLLServices2.dll.config</t>
  </si>
  <si>
    <t>C:\Users\DAVE\Documents\Visual Studio 2013\Projects\WizardWrx_Libs\_Deprecated_Libraries\ApplicationHelpers2\ApplicationHelpers2\bin\Release\WizardWrx.DLLServices2.dll.config</t>
  </si>
  <si>
    <t>C:\Users\DAVE\Documents\Visual Studio 2013\Projects\WizardWrx_Libs\_Deprecated_Libraries\ApplicationHelpers2\ApplicationHelpers2\bin\Debug\WizardWrx.DLLServices2.dll.config</t>
  </si>
  <si>
    <t>C:\Users\DAVE\Documents\Visual Studio 2013\Projects\WizardWrx_Libs\_Deprecated_Libraries\ApplicationHelpers2\WizardWrx.DLLServices2.dll.config</t>
  </si>
  <si>
    <t>C:\Users\DAVE\Documents\Visual Studio 2013\Projects\WizardWrx_Libs\WinFormsHelpers\WinFormsHelpers\bin\Release\WizardWrx.DLLServices2.dll.config</t>
  </si>
  <si>
    <t>C:\Users\DAVE\Documents\Visual Studio 2013\Projects\WizardWrx_Libs\WinFormsHelpers\WinFormsHelpers\bin\Debug\WizardWrx.DLLServices2.dll.config</t>
  </si>
  <si>
    <t>C:\Users\DAVE\Documents\Visual Studio 2013\Projects\WizardWrx_Libs\SharedUtl4\SharedUtl4_TestStand\bin\Release\WizardWrx.DLLServices2.dll.config</t>
  </si>
  <si>
    <t>C:\Users\DAVE\Documents\Visual Studio 2013\Projects\WizardWrx_Libs\SharedUtl4\SharedUtl4_TestStand\bin\Debug\WizardWrx.DLLServices2.dll.config</t>
  </si>
  <si>
    <t>C:\Users\DAVE\Documents\Visual Studio 2013\Projects\WizardWrx_Libs\SharedUtl4\SharedUtl4_TestStand\WizardWrx.DLLServices2.dll.config</t>
  </si>
  <si>
    <t>C:\Users\DAVE\Documents\Visual Studio 2013\Projects\WizardWrx_Libs\SharedUtl4\SharedUtl4\bin\Release\WizardWrx.DLLServices2.dll.config</t>
  </si>
  <si>
    <t>C:\Users\DAVE\Documents\Visual Studio 2013\Projects\WizardWrx_Libs\SharedUtl4\SharedUtl4\bin\Debug\WizardWrx.DLLServices2.dll.config</t>
  </si>
  <si>
    <t>C:\Users\DAVE\Documents\Visual Studio 2013\Projects\WizardWrx_Libs\SharedUtl4\FormatStringEngine\bin\Debug\WizardWrx.DLLServices2.dll.config</t>
  </si>
  <si>
    <t>C:\Users\DAVE\Documents\Visual Studio 2013\Projects\WizardWrx_Libs\MailForAllApps\TestStand\bin\Release\WizardWrx.DLLServices2.dll.config</t>
  </si>
  <si>
    <t>C:\Users\DAVE\Documents\Visual Studio 2013\Projects\WizardWrx_Libs\MailForAllApps\TestStand\bin\Debug\WizardWrx.DLLServices2.dll.config</t>
  </si>
  <si>
    <t>C:\Users\DAVE\Documents\Visual Studio 2013\Projects\WizardWrx_Libs\MailForAllApps\TestStand\WizardWrx.DLLServices2.dll.config</t>
  </si>
  <si>
    <t>C:\Users\DAVE\Documents\Visual Studio 2013\Projects\WizardWrx_Libs\MailForAllApps\MailForAllApps\bin\Release\WizardWrx.DLLServices2.dll.config</t>
  </si>
  <si>
    <t>C:\Users\DAVE\Documents\Visual Studio 2013\Projects\WizardWrx_Libs\MailForAllApps\MailForAllApps\bin\Debug\WizardWrx.DLLServices2.dll.config</t>
  </si>
  <si>
    <t>C:\Users\DAVE\Documents\Visual Studio 2013\Projects\WizardWrx_Libs\DLLServices2\RedirectedStreamTester\bin\Release\WizardWrx.DLLServices2.dll.config</t>
  </si>
  <si>
    <t>C:\Users\DAVE\Documents\Visual Studio 2013\Projects\WizardWrx_Libs\DLLServices2\RedirectedStreamTester\bin\Debug\WizardWrx.DLLServices2.dll.config</t>
  </si>
  <si>
    <t>C:\Users\DAVE\Documents\Visual Studio 2013\Projects\WizardWrx_Libs\DLLServices2\DLLServices2TestStand\bin\Release\WizardWrx.DLLServices2.dll.config</t>
  </si>
  <si>
    <t>C:\Users\DAVE\Documents\Visual Studio 2013\Projects\WizardWrx_Libs\DLLServices2\DLLServices2TestStand\bin\Debug\WizardWrx.DLLServices2.dll.config</t>
  </si>
  <si>
    <t>C:\Users\DAVE\Documents\Visual Studio 2013\Projects\WizardWrx_Libs\DLLServices2\DLLServices2\obj\Release\WizardWrx.DLLServices2.dll.config</t>
  </si>
  <si>
    <t>C:\Users\DAVE\Documents\Visual Studio 2013\Projects\WizardWrx_Libs\DLLServices2\DLLServices2\obj\Debug\WizardWrx.DLLServices2.dll.config</t>
  </si>
  <si>
    <t>C:\Users\DAVE\Documents\Visual Studio 2013\Projects\WizardWrx_Libs\DLLServices2\DLLServices2\bin\Release\WizardWrx.DLLServices2.dll.config</t>
  </si>
  <si>
    <t>C:\Users\DAVE\Documents\Visual Studio 2013\Projects\WizardWrx_Libs\DLLServices2\DLLServices2\bin\Debug\WizardWrx.DLLServices2.dll.config</t>
  </si>
  <si>
    <t>C:\Users\DAVE\Documents\Visual Studio 2013\Projects\WizardWrx_Libs\DLLServices2\DLLServices2\WizardWrx.DLLServices2.dll.config</t>
  </si>
  <si>
    <t>C:\Users\DAVE\Documents\Visual Studio 2013\Projects\WizardWrx_Libs\ConsoleAppAids2\TestStand\bin\Release\WizardWrx.DLLServices2.dll.config</t>
  </si>
  <si>
    <t>C:\Users\DAVE\Documents\Visual Studio 2013\Projects\WizardWrx_Libs\ConsoleAppAids2\TestStand\bin\Debug\WizardWrx.DLLServices2.dll.config</t>
  </si>
  <si>
    <t>C:\Users\DAVE\Documents\Visual Studio 2013\Projects\WizardWrx_Libs\ConsoleAppAids2\TestStand\WizardWrx.DLLServices2.dll.config</t>
  </si>
  <si>
    <t>C:\Users\DAVE\Documents\Visual Studio 2013\Projects\WizardWrx_Libs\ConsoleAppAids2\EOJTEST\bin\Release\WizardWrx.DLLServices2.dll.config</t>
  </si>
  <si>
    <t>C:\Users\DAVE\Documents\Visual Studio 2013\Projects\WizardWrx_Libs\ConsoleAppAids2\EOJTEST\bin\Debug\WizardWrx.DLLServices2.dll.config</t>
  </si>
  <si>
    <t>C:\Users\DAVE\Documents\Visual Studio 2013\Projects\WizardWrx_Libs\ConsoleAppAids2\EOJTEST\WizardWrx.DLLServices2.dll.config</t>
  </si>
  <si>
    <t>C:\Users\DAVE\Documents\Visual Studio 2013\Projects\WizardWrx_Libs\ConsoleAppAids2\ConsoleAppAids2\bin\Release\WizardWrx.DLLServices2.dll.config</t>
  </si>
  <si>
    <t>C:\Users\DAVE\Documents\Visual Studio 2013\Projects\WizardWrx_Libs\ConsoleAppAids2\ConsoleAppAids2\bin\Debug\WizardWrx.DLLServices2.dll.config</t>
  </si>
  <si>
    <t>C:\Users\DAVE\Documents\Visual Studio 2013\Projects\WizardWrx_Libs\ConsoleAppAids2\ConsoleAppAids2\WizardWrx.DLLServices2.dll.config</t>
  </si>
  <si>
    <t>C:\Users\DAVE\Documents\Visual Studio 2013\Projects\WizardWrx_Libs\AnyCSV\AnyCSVTestStand\bin\Release\WizardWrx.DLLServices2.dll.config</t>
  </si>
  <si>
    <t>C:\Users\DAVE\Documents\Visual Studio 2013\Projects\WizardWrx_Libs\AnyCSV\AnyCSVTestStand\bin\Debug\WizardWrx.DLLServices2.dll.config</t>
  </si>
  <si>
    <t>C:\Users\DAVE\Documents\Visual Studio 2013\Projects\WizardWrx_Libs\AnyCSV\AnyCSVTestStand\WizardWrx.DLLServices2.dll.config</t>
  </si>
  <si>
    <t>C:\Users\DAVE\Documents\Visual Studio 2013\Projects\Tools_for_Programmers\RGUNC_Tag_Browser\CreateAlternativesTable\bin\Debug\WizardWrx.DLLServices2.dll.config</t>
  </si>
  <si>
    <t>C:\Users\DAVE\Documents\Visual Studio 2013\Projects\Tools_for_Programmers\PolyCat\PolyCat\bin\Release\WizardWrx.DLLServices2.dll.config</t>
  </si>
  <si>
    <t>C:\Users\DAVE\Documents\Visual Studio 2013\Projects\Tools_for_Programmers\PolyCat\PolyCat\bin\Debug\WizardWrx.DLLServices2.dll.config</t>
  </si>
  <si>
    <t>C:\Users\DAVE\Documents\Visual Studio 2013\Projects\Tools_for_Programmers\PolyCat\PolyCat\WizardWrx.DLLServices2.dll.config</t>
  </si>
  <si>
    <t>C:\Users\DAVE\Documents\Visual Studio 2013\Projects\Tools_for_Programmers\PolyCat\NOTES\WizardWrx.DLLServices2.dll.config</t>
  </si>
  <si>
    <t>C:\Users\DAVE\Documents\Visual Studio 2013\Projects\Tools_for_Programmers\MemView\MemView\bin\Debug\WizardWrx.DLLServices2.dll.config</t>
  </si>
  <si>
    <t>C:\Users\DAVE\Documents\Visual Studio 2013\Projects\Tools_for_Programmers\MemCalc\MemCalc\bin\Debug\WizardWrx.DllServices2.dll.config</t>
  </si>
  <si>
    <t>C:\Users\DAVE\Documents\Visual Studio 2013\Projects\Tools_for_Programmers\MemCalc\MemCalc\WizardWrx.DllServices2.dll.config</t>
  </si>
  <si>
    <t>C:\Users\DAVE\Documents\Visual Studio 2013\Projects\Tools_for_Programmers\CertStoreLister\CertStoreLister\bin\Debug\WizardWrx.DLLServices2.dll.config</t>
  </si>
  <si>
    <t>C:\Users\DAVE\Documents\Visual Studio 2013\Projects\Tools_for_Programmers\CertStoreLister\CertStoreLister\WizardWrx.DLLServices2.dll.config</t>
  </si>
  <si>
    <t>C:\Users\DAVE\Documents\Visual Studio 2013\Projects\Tools_for_Programmers\BitView\BitView\bin\Debug\WizardWrx.DLLServices2.dll.config</t>
  </si>
  <si>
    <t>C:\Users\DAVE\Documents\Visual Studio 2013\Projects\NOLANB\ZZRdInts\ZZRdInts\bin\Release\WizardWrx.DLLServices2.dll.config</t>
  </si>
  <si>
    <t>C:\Users\DAVE\Documents\Visual Studio 2013\Projects\NOLANB\ZZRdInts\ZZRdInts\bin\Debug\WizardWrx.DLLServices2.dll.config</t>
  </si>
  <si>
    <t>C:\Users\DAVE\Documents\Visual Studio 2013\Projects\NOLANB\ZZRdInts\ZZRdInts\WizardWrx.DLLServices2.dll.config</t>
  </si>
  <si>
    <t>C:\Users\DAVE\Documents\Visual Studio 2013\Projects\NOLANB\LogBasePruner\LogBasePruner\bin\Release\WizardWrx.DLLServices2.dll.config</t>
  </si>
  <si>
    <t>C:\Users\DAVE\Documents\Visual Studio 2013\Projects\NOLANB\LogBasePruner\LogBasePruner\bin\Debug\WizardWrx.DLLServices2.dll.config</t>
  </si>
  <si>
    <t>C:\Users\DAVE\Documents\Visual Studio 2013\Projects\NOLANB\LogBasePruner\LogBasePruner\WizardWrx.DLLServices2.dll.config</t>
  </si>
  <si>
    <t>C:\Users\DAVE\Documents\Visual Studio 2013\Projects\NOLANB\EZXFER_Cloud_Manager\EZXFER_Cloud_Manager\bin\Release\WizardWrx.DLLServices2.dll.config</t>
  </si>
  <si>
    <t>C:\Users\DAVE\Documents\Visual Studio 2013\Projects\NOLANB\EZXFER_Cloud_Manager\EZXFER_Cloud_Manager\bin\Debug\WizardWrx.DLLServices2.dll.config</t>
  </si>
  <si>
    <t>C:\Users\DAVE\Documents\Visual Studio 2013\Projects\NOLANB\EZXFER_Cloud_Manager\EZXFER_Cloud_Manager\WizardWrx.DLLServices2.dll.config</t>
  </si>
  <si>
    <t>C:\Users\DAVE\Documents\Visual Studio 2013\Projects\NOLANB\EZPayWebPmtsNotifier\EZPayWebPmtsNotifier\bin\Release\WizardWrx.DLLServices2.dll.config</t>
  </si>
  <si>
    <t>C:\Users\DAVE\Documents\Visual Studio 2013\Projects\NOLANB\EZPayWebPmtsNotifier\EZPayWebPmtsNotifier\bin\Debug\WizardWrx.DLLServices2.dll.config</t>
  </si>
  <si>
    <t>C:\Users\DAVE\Documents\Visual Studio 2013\Projects\NOLANB\EZPayFileMonitor\EZPayFileMonitor\bin\Release\WizardWrx.DLLServices2.dll.config</t>
  </si>
  <si>
    <t>C:\Users\DAVE\Documents\Visual Studio 2013\Projects\NOLANB\EZPayFileMonitor\EZPayFileMonitor\bin\Debug\WizardWrx.DLLServices2.dll.config</t>
  </si>
  <si>
    <t>C:\Users\DAVE\Documents\Visual Studio 2013\Projects\NOLANB\EZPayFileMonitor\EZPayFileMonitor\WizardWrx.DLLServices2.dll.config</t>
  </si>
  <si>
    <t>C:\Users\DAVE\Documents\Visual Studio 2013\Projects\NOLANB\DataEaseDirectoryReader\SupportMethodTester\bin\Release\WizardWrx.DLLServices2.dll.config</t>
  </si>
  <si>
    <t>C:\Users\DAVE\Documents\Visual Studio 2013\Projects\NOLANB\DataEaseDirectoryReader\SupportMethodTester\bin\Debug\WizardWrx.DLLServices2.dll.config</t>
  </si>
  <si>
    <t>C:\Users\DAVE\Documents\Visual Studio 2013\Projects\NOLANB\DataEaseDirectoryReader\SupportMethodTester\WizardWrx.DLLServices2.dll.config</t>
  </si>
  <si>
    <t>C:\Users\DAVE\Documents\Visual Studio 2013\Projects\NOLANB\DataEaseDirectoryReader\DataEaseDirectoryReader\bin\Release\WizardWrx.DLLServices2.dll.config</t>
  </si>
  <si>
    <t>C:\Users\DAVE\Documents\Visual Studio 2013\Projects\NOLANB\DataEaseDirectoryReader\DataEaseDirectoryReader\bin\Debug\WizardWrx.DLLServices2.dll.config</t>
  </si>
  <si>
    <t>C:\Users\DAVE\Documents\Visual Studio 2013\Projects\NOLANB\DataEaseDirectoryReader\DataEaseDirectoryReader\WizardWrx.DLLServices2.dll.config</t>
  </si>
  <si>
    <t>C:\Users\DAVE\Documents\Visual Studio 2013\Projects\NOLANB\DataEaseDirectoryReader\DataEase\bin\Release\WizardWrx.DLLServices2.dll.config</t>
  </si>
  <si>
    <t>C:\Users\DAVE\Documents\Visual Studio 2013\Projects\NOLANB\DataEaseDirectoryReader\DataEase\bin\Debug\WizardWrx.DLLServices2.dll.config</t>
  </si>
  <si>
    <t>C:\Users\DAVE\Documents\Visual Studio 2013\Projects\DatabaseApps\GeneralPurposeLogger\ConsoleApplication1\ConsoleApplication1\bin\Debug\WizardWrx.DLLServices2.dll.config</t>
  </si>
  <si>
    <t>C:\Users\DAVE\Documents\Visual Studio 2013\Projects\DatabaseApps\GeneralPurposeLogger\ConsoleApplication1\ConsoleApplication1\WizardWrx.DLLServices2.dll.config</t>
  </si>
  <si>
    <t>C:\Users\DAVE\Documents\Visual Studio 2013\Projects\Console_Apps\WWEnumEnvironmentStrings\WWEnumEnvironmentStrings\bin\x86\Release\WizardWrx.DLLServices2.dll.config</t>
  </si>
  <si>
    <t>C:\Users\DAVE\Documents\Visual Studio 2013\Projects\Console_Apps\WWEnumEnvironmentStrings\WWEnumEnvironmentStrings\bin\Release\WizardWrx.DLLServices2.dll.config</t>
  </si>
  <si>
    <t>C:\Users\DAVE\Documents\Visual Studio 2013\Projects\Console_Apps\WWEnumEnvironmentStrings\WWEnumEnvironmentStrings\bin\Debug\WizardWrx.DLLServices2.dll.config</t>
  </si>
  <si>
    <t>C:\Users\DAVE\Documents\Visual Studio 2013\Projects\Console_Apps\WWEnumEnvironmentStrings\WWEnumEnvironmentStrings\WizardWrx.DLLServices2.dll.config</t>
  </si>
  <si>
    <t>C:\Users\DAVE\Documents\Visual Studio 2013\Projects\Console_Apps\NFiles\NFiles\bin\Debug\WizardWrx.DLLServices2.dll.config</t>
  </si>
  <si>
    <t>C:\Users\DAVE\Documents\Visual Studio 2013\Projects\Console_Apps\MultiCat\MultiCat\bin\Debug\WizardWrx.DLLServices2.dll.config</t>
  </si>
  <si>
    <t>C:\Users\DAVE\Documents\Visual Studio 2013\Projects\Console_Apps\MassUpdateColorIndex\MassUpdateColorIndex\bin\Release\WizardWrx.DLLServices2.dll.config</t>
  </si>
  <si>
    <t>C:\Users\DAVE\Documents\Visual Studio 2013\Projects\Console_Apps\MassUpdateColorIndex\MassUpdateColorIndex\bin\Debug\WizardWrx.DLLServices2.dll.config</t>
  </si>
  <si>
    <t>C:\Users\DAVE\Documents\Visual Studio 2013\Projects\Console_Apps\FixEventLogExport\FixEventLogExport_Distribution_Package\WizardWrx.DLLServices2.dll.config</t>
  </si>
  <si>
    <t>C:\Users\DAVE\Documents\Visual Studio 2013\Projects\Console_Apps\FixEventLogExport\FixEventLogExport\bin\x86\Release\WizardWrx.DLLServices2.dll.config</t>
  </si>
  <si>
    <t>C:\Users\DAVE\Documents\Visual Studio 2013\Projects\Console_Apps\FixEventLogExport\FixEventLogExport\bin\x86\Debug\WizardWrx.DLLServices2.dll.config</t>
  </si>
  <si>
    <t>C:\Users\DAVE\Documents\Visual Studio 2013\Projects\Console_Apps\FixEventLogExport\FixEventLogExport\bin\Debug\WizardWrx.DLLServices2.dll.config</t>
  </si>
  <si>
    <t>C:\Users\DAVE\Documents\Visual Studio 2013\Projects\Console_Apps\FixEventLogExport\FixEventLogExport\WizardWrx.DLLServices2.dll.config</t>
  </si>
  <si>
    <t>C:\Users\DAVE\Documents\Visual Studio 2013\Projects\Console_Apps\Date2FN\Date2FN\bin\Debug\WizardWrx.DLLServices2.dll.config</t>
  </si>
  <si>
    <t>C:\Users\DAVE\Documents\Visual Studio 2013\Projects\Console_Apps\CSV2JSONRT\CSV2JSONRT\bin\x86\Release\WizardWrx.DLLServices2.dll.config</t>
  </si>
  <si>
    <t>C:\Users\DAVE\Documents\Visual Studio 2013\Projects\Console_Apps\CSV2JSONRT\CSV2JSONRT\bin\x86\Debug\WizardWrx.DLLServices2.dll.config</t>
  </si>
  <si>
    <t>C:\Users\DAVE\Documents\Programming\Visual_Studio_6\DLL\ProcessInfo\CDeclToStdCallMigrationTool\CDeclToStdCallMigrationTool\bin\Debug\WizardWrx.DLLServices2.dll.config</t>
  </si>
  <si>
    <t>C:\Users\DAVE\Documents\Articles_2015\Console_Output_Magic\DLLServices2\DLLServices2TestStand\bin\Release\WizardWrx.DLLServices2.dll.config</t>
  </si>
  <si>
    <t>C:\Users\DAVE\Documents\Articles_2015\Console_Output_Magic\DLLServices2\DLLServices2TestStand\bin\Debug\WizardWrx.DLLServices2.dll.config</t>
  </si>
  <si>
    <t>C:\Users\DAVE\Documents\Articles_2015\Console_Output_Magic\DLLServices2\DLLServices2\bin\Release\WizardWrx.DLLServices2.dll.config</t>
  </si>
  <si>
    <t>C:\Users\DAVE\Documents\Articles_2015\Console_Output_Magic\DLLServices2\DLLServices2\bin\Debug\WizardWrx.DLLServices2.dll.config</t>
  </si>
  <si>
    <t>C:\Users\DAVE\Documents\Articles_2015\Console_Output_Magic\DLLServices2\DLLServices2\WizardWrx.DLLServices2.dll.config</t>
  </si>
  <si>
    <t>C:\Users\DAVE\Documents\Articles_2015\Console_Output_Magic\Console_Color_Writer\TestStand\bin\Release\WizardWrx.DLLServices2.dll.config</t>
  </si>
  <si>
    <t>C:\Users\DAVE\Documents\Articles_2015\Console_Output_Magic\Console_Color_Writer\TestStand\bin\Debug\WizardWrx.DLLServices2.dll.config</t>
  </si>
  <si>
    <t>C:\Users\DAVE\Documents\Articles_2015\Console_Output_Magic\Console_Color_Writer\TestStand\WizardWrx.DLLServices2.dll.config</t>
  </si>
  <si>
    <t>C:\Users\DAVE\Documents\Articles_2015\Console_Output_Magic\Console_Color_Writer\ConsoleAppAids2\bin\Release\WizardWrx.DLLServices2.dll.config</t>
  </si>
  <si>
    <t>C:\Users\DAVE\Documents\Articles_2015\Console_Output_Magic\Console_Color_Writer\ConsoleAppAids2\bin\Debug\WizardWrx.DLLServices2.dll.config</t>
  </si>
  <si>
    <t>C:\Users\DAVE\Documents\Articles_2015\Console_Output_Magic\Console_Color_Writer\ConsoleAppAids2\WizardWrx.DLLServices2.dll.config</t>
  </si>
  <si>
    <t>C:\bin\WizardWrx.DLLServices2.dll.config</t>
  </si>
  <si>
    <t>Created</t>
  </si>
  <si>
    <t>Last_Modify</t>
  </si>
  <si>
    <t>Last_Access</t>
  </si>
  <si>
    <t>Size</t>
  </si>
  <si>
    <t>Absolute_FileName</t>
  </si>
  <si>
    <t>Absolute_DirectoryName</t>
  </si>
  <si>
    <t>Cells</t>
  </si>
  <si>
    <t>Columns</t>
  </si>
  <si>
    <t>Rows</t>
  </si>
  <si>
    <t>Address</t>
  </si>
  <si>
    <t>Sheet</t>
  </si>
  <si>
    <t>Origin Cell Contents</t>
  </si>
  <si>
    <t>Absolute Address</t>
  </si>
  <si>
    <t>Check List</t>
  </si>
  <si>
    <t>_Index of Named Ranges</t>
  </si>
  <si>
    <t>Inventory_WizardWrx_DLLServices</t>
  </si>
  <si>
    <t>__Workbook_Index</t>
  </si>
  <si>
    <t>=Index!$A$1:$A$3</t>
  </si>
  <si>
    <t>Newest_DllServices_Config</t>
  </si>
  <si>
    <t>=Inventory_WizardWrx_DLLServices!$D$2</t>
  </si>
  <si>
    <t>Task_Notes_Directory</t>
  </si>
  <si>
    <t>='Check List'!$E$3</t>
  </si>
  <si>
    <t>Task_Notes_File</t>
  </si>
  <si>
    <t>Decorate classes to be exposed with [Serializable(), ClassInterface(ClassInterfaceType.AutoDual), ComVisible(true)].</t>
  </si>
  <si>
    <t>Consider adding a collection class.</t>
  </si>
  <si>
    <t>Open the Parser class in the editor, and insert it.</t>
  </si>
  <si>
    <t>Set this on the Build tab of the assembly property sheet. Since he didn't specify which configuration, and I know how such things usually behave, I set this on the Release build.</t>
  </si>
  <si>
    <t>Since this is a core feature, it requires no new references.</t>
  </si>
  <si>
    <t>These can be inserted individually.</t>
  </si>
  <si>
    <t>C:\Windows\winsxs\x86_microsoft-windows-security-spp-tools_31bf3856ad364e35_6.1.7600.16385_none_456f9c422073f3b7\slmgr.vbs</t>
  </si>
  <si>
    <t>C:\Windows\winsxs\x86_microsoft-windows-p..inscripts.resources_31bf3856ad364e35_6.1.7600.16385_en-us_0e83b619ada3e7ed\pubprn.vbs</t>
  </si>
  <si>
    <t>C:\Windows\winsxs\x86_microsoft-windows-p..inscripts.resources_31bf3856ad364e35_6.1.7600.16385_en-us_0e83b619ada3e7ed\prnqctl.vbs</t>
  </si>
  <si>
    <t>C:\Windows\winsxs\x86_microsoft-windows-p..inscripts.resources_31bf3856ad364e35_6.1.7600.16385_en-us_0e83b619ada3e7ed\prnport.vbs</t>
  </si>
  <si>
    <t>C:\Windows\winsxs\x86_microsoft-windows-p..inscripts.resources_31bf3856ad364e35_6.1.7600.16385_en-us_0e83b619ada3e7ed\prnmngr.vbs</t>
  </si>
  <si>
    <t>C:\Windows\winsxs\x86_microsoft-windows-p..inscripts.resources_31bf3856ad364e35_6.1.7600.16385_en-us_0e83b619ada3e7ed\prnjobs.vbs</t>
  </si>
  <si>
    <t>C:\Windows\winsxs\x86_microsoft-windows-p..inscripts.resources_31bf3856ad364e35_6.1.7600.16385_en-us_0e83b619ada3e7ed\prndrvr.vbs</t>
  </si>
  <si>
    <t>C:\Windows\winsxs\x86_microsoft-windows-p..inscripts.resources_31bf3856ad364e35_6.1.7600.16385_en-us_0e83b619ada3e7ed\prncnfg.vbs</t>
  </si>
  <si>
    <t>C:\Windows\winsxs\wow64_microsoft-windows-w..for-management-core_31bf3856ad364e35_7.2.7601.16406_none_ec8c540d21b01a76\winrm.vbs</t>
  </si>
  <si>
    <t>C:\Windows\winsxs\wow64_microsoft-windows-w..for-management-core_31bf3856ad364e35_6.1.7601.22826_none_3360df98112c1ae9\winrm.vbs</t>
  </si>
  <si>
    <t>C:\Windows\winsxs\wow64_microsoft-windows-w..for-management-core_31bf3856ad364e35_6.1.7601.18619_none_32e511b0f803ae0c\winrm.vbs</t>
  </si>
  <si>
    <t>C:\Windows\winsxs\wow64_microsoft-windows-w..for-management-core_31bf3856ad364e35_6.1.7601.17514_none_32e02520f8081891\winrm.vbs</t>
  </si>
  <si>
    <t>C:\Windows\winsxs\wow64_microsoft-windows-iis-legacyscripts_31bf3856ad364e35_6.1.7600.16385_none_e49008e2c548c75f\IIsExt.vbs</t>
  </si>
  <si>
    <t>C:\Windows\winsxs\amd64_microsoft-windows-w..for-management-core_31bf3856ad364e35_7.2.7601.16406_none_e237a9baed4f587b\winrm.vbs</t>
  </si>
  <si>
    <t>C:\Windows\winsxs\amd64_microsoft-windows-w..for-management-core_31bf3856ad364e35_6.1.7601.22826_none_290c3545dccb58ee\winrm.vbs</t>
  </si>
  <si>
    <t>C:\Windows\winsxs\amd64_microsoft-windows-w..for-management-core_31bf3856ad364e35_6.1.7601.18619_none_2890675ec3a2ec11\winrm.vbs</t>
  </si>
  <si>
    <t>C:\Windows\winsxs\amd64_microsoft-windows-w..for-management-core_31bf3856ad364e35_6.1.7601.17514_none_288b7acec3a75696\winrm.vbs</t>
  </si>
  <si>
    <t>C:\Windows\winsxs\amd64_microsoft-windows-security-spp-tools_31bf3856ad364e35_6.1.7600.16385_none_a18e37c5d8d164ed\slmgr.vbs</t>
  </si>
  <si>
    <t>C:\Windows\winsxs\amd64_microsoft-windows-p..inscripts.resources_31bf3856ad364e35_6.1.7600.16385_en-us_6aa2519d66015923\pubprn.vbs</t>
  </si>
  <si>
    <t>C:\Windows\winsxs\amd64_microsoft-windows-p..inscripts.resources_31bf3856ad364e35_6.1.7600.16385_en-us_6aa2519d66015923\prnqctl.vbs</t>
  </si>
  <si>
    <t>C:\Windows\winsxs\amd64_microsoft-windows-p..inscripts.resources_31bf3856ad364e35_6.1.7600.16385_en-us_6aa2519d66015923\prnport.vbs</t>
  </si>
  <si>
    <t>C:\Windows\winsxs\amd64_microsoft-windows-p..inscripts.resources_31bf3856ad364e35_6.1.7600.16385_en-us_6aa2519d66015923\prnmngr.vbs</t>
  </si>
  <si>
    <t>C:\Windows\winsxs\amd64_microsoft-windows-p..inscripts.resources_31bf3856ad364e35_6.1.7600.16385_en-us_6aa2519d66015923\prnjobs.vbs</t>
  </si>
  <si>
    <t>C:\Windows\winsxs\amd64_microsoft-windows-p..inscripts.resources_31bf3856ad364e35_6.1.7600.16385_en-us_6aa2519d66015923\prndrvr.vbs</t>
  </si>
  <si>
    <t>C:\Windows\winsxs\amd64_microsoft-windows-p..inscripts.resources_31bf3856ad364e35_6.1.7600.16385_en-us_6aa2519d66015923\prncnfg.vbs</t>
  </si>
  <si>
    <t>C:\Windows\winsxs\amd64_microsoft-windows-nettrace-netsh-helper_31bf3856ad364e35_6.1.7600.16385_none_f72251fe8a04e1e5\gatherNetworkInfo.vbs</t>
  </si>
  <si>
    <t>C:\Windows\winsxs\amd64_microsoft-windows-iis-legacyscripts_31bf3856ad364e35_6.1.7600.16385_none_da3b5e9090e80564\IIsExt.vbs</t>
  </si>
  <si>
    <t>C:\Windows\winsxs\amd64_microsoft-windows-iis-legacyscripts_31bf3856ad364e35_6.1.7600.16385_none_da3b5e9090e80564\adsutil.vbs</t>
  </si>
  <si>
    <t>C:\Windows\SysWOW64\Printing_Admin_Scripts\en-US\pubprn.vbs</t>
  </si>
  <si>
    <t>C:\Windows\SysWOW64\Printing_Admin_Scripts\en-US\prnqctl.vbs</t>
  </si>
  <si>
    <t>C:\Windows\SysWOW64\Printing_Admin_Scripts\en-US\prnport.vbs</t>
  </si>
  <si>
    <t>C:\Windows\SysWOW64\Printing_Admin_Scripts\en-US\prnmngr.vbs</t>
  </si>
  <si>
    <t>C:\Windows\SysWOW64\Printing_Admin_Scripts\en-US\prnjobs.vbs</t>
  </si>
  <si>
    <t>C:\Windows\SysWOW64\Printing_Admin_Scripts\en-US\prndrvr.vbs</t>
  </si>
  <si>
    <t>C:\Windows\SysWOW64\Printing_Admin_Scripts\en-US\prncnfg.vbs</t>
  </si>
  <si>
    <t>C:\Windows\SysWOW64\winrm.vbs</t>
  </si>
  <si>
    <t>C:\Windows\SysWOW64\slmgr.vbs</t>
  </si>
  <si>
    <t>C:\Windows\System32\Printing_Admin_Scripts\en-US\pubprn.vbs</t>
  </si>
  <si>
    <t>C:\Windows\System32\Printing_Admin_Scripts\en-US\prnqctl.vbs</t>
  </si>
  <si>
    <t>C:\Windows\System32\Printing_Admin_Scripts\en-US\prnport.vbs</t>
  </si>
  <si>
    <t>C:\Windows\System32\Printing_Admin_Scripts\en-US\prnmngr.vbs</t>
  </si>
  <si>
    <t>C:\Windows\System32\Printing_Admin_Scripts\en-US\prnjobs.vbs</t>
  </si>
  <si>
    <t>C:\Windows\System32\Printing_Admin_Scripts\en-US\prndrvr.vbs</t>
  </si>
  <si>
    <t>C:\Windows\System32\Printing_Admin_Scripts\en-US\prncnfg.vbs</t>
  </si>
  <si>
    <t>C:\Windows\System32\winrm.vbs</t>
  </si>
  <si>
    <t>C:\Windows\System32\slmgr.vbs</t>
  </si>
  <si>
    <t>C:\UTIL\NBIDDQL.VBS</t>
  </si>
  <si>
    <t>C:\Users\Public\Documents\Other_Clients\Justice_Marty\01137_Inspection_Worksheet\Experiments\tips0719.VBS</t>
  </si>
  <si>
    <t>C:\Users\Public\Documents\Other_Clients\Justice_Marty\01137_Inspection_Worksheet\Experiments\hey0425.VBS</t>
  </si>
  <si>
    <t>C:\Users\Public\Documents\NOLANB\_Installation_Packages\UTIL_Reference\NBIDDQL.VBS</t>
  </si>
  <si>
    <t>C:\Users\Public\Documents\NOLANB\_Installation_Packages\Remote\2013\20131016\REPORTS\UTIL_20130919_150654\NBIDDQL.VBS</t>
  </si>
  <si>
    <t>C:\Users\Public\Documents\NOLANB\TASKS\_PTI_Gate_2016\UTIL_Rock_Hill\NBIDDQL.VBS</t>
  </si>
  <si>
    <t>C:\Users\Public\Documents\NOLANB\TASKS\_EMV_Credit_Card_Processing\_Deliverables_Prep\UTIL_ZAPHOD42_20160309_085628\NBIDDQL.VBS</t>
  </si>
  <si>
    <t>C:\Users\Public\Documents\NOLANB\TASKS\DataEase_on_X64\Windows_Server_REFERENCE\UTIL_SQLSERVER2K\NBIDDQL.VBS</t>
  </si>
  <si>
    <t>C:\Users\Public\Documents\NOLANB\TASKS\DataEase_on_X64\Windows_Server_REFERENCE\CALL_OUT_UTIL_20130423_111142\NBIDDQL.VBS</t>
  </si>
  <si>
    <t>C:\Users\Public\Documents\NOLANB\BACKUPS\_Misc_Backups\UTIL_DAGDEV\UTIL_Milestone_20140129_113158\NBIDDQL.VBS</t>
  </si>
  <si>
    <t>C:\Users\Public\Documents\H_DEASE\UTIL_from_ZAPHOD42\NBIDDQL.VBS</t>
  </si>
  <si>
    <t>C:\Users\DAVE\OneDrive\REFERENCE\Windows_7\gshultz_V7R_1-22\CreateCanonical.vbs</t>
  </si>
  <si>
    <t>C:\Users\DAVE\OneDrive\REFERENCE\WinBatch_Stuff\WshDialog\WshDialog.vbs</t>
  </si>
  <si>
    <t>C:\Users\DAVE\OneDrive\REFERENCE\WinBatch_Stuff\evtextender\EvtExt\error.vbs</t>
  </si>
  <si>
    <t>C:\Users\DAVE\OneDrive\REFERENCE\Win32_API\Calling_External_Programs\RunWait.VBS</t>
  </si>
  <si>
    <t>C:\Users\DAVE\OneDrive\REFERENCE\SQL_Server_2000_Resource_Kit\X0804969CD\TOOLSANDSAMPLES\METADATASCRIPTER\HEADER.VBS</t>
  </si>
  <si>
    <t>C:\Users\DAVE\OneDrive\REFERENCE\SQL_Server_2000_Resource_Kit\X0804969CD\TOOLSANDSAMPLES\METADATASCRIPTER\FOOTER.VBS</t>
  </si>
  <si>
    <t>C:\Users\DAVE\OneDrive\REFERENCE\Registry_Hacks_to_Review\window_placement.vbs</t>
  </si>
  <si>
    <t>C:\Users\DAVE\OneDrive\REFERENCE\Registry_Hacks_to_Review\systemuptime.vbs</t>
  </si>
  <si>
    <t>C:\Users\DAVE\OneDrive\REFERENCE\Registry_Hacks_to_Review\specialfolder.vbs</t>
  </si>
  <si>
    <t>C:\Users\DAVE\OneDrive\REFERENCE\Registry_Hacks_to_Review\separateprocess.vbs</t>
  </si>
  <si>
    <t>C:\Users\DAVE\OneDrive\REFERENCE\Registry_Hacks_to_Review\screensaverchange.vbs</t>
  </si>
  <si>
    <t>C:\Users\DAVE\OneDrive\REFERENCE\Registry_Hacks_to_Review\ReportClassName.vbs</t>
  </si>
  <si>
    <t>C:\Users\DAVE\OneDrive\REFERENCE\Registry_Hacks_to_Review\regopen.vbs</t>
  </si>
  <si>
    <t>C:\Users\DAVE\OneDrive\REFERENCE\Registry_Hacks_to_Review\readhostfile.vbs</t>
  </si>
  <si>
    <t>C:\Users\DAVE\OneDrive\REFERENCE\Registry_Hacks_to_Review\numlockenabledisable.vbs</t>
  </si>
  <si>
    <t>C:\Users\DAVE\OneDrive\REFERENCE\Registry_Hacks_to_Review\LookUpExtensions.vbs</t>
  </si>
  <si>
    <t>C:\Users\DAVE\OneDrive\REFERENCE\Registry_Hacks_to_Review\ietoolbars.vbs</t>
  </si>
  <si>
    <t>C:\Users\DAVE\OneDrive\REFERENCE\Registry_Hacks_to_Review\iconcache.vbs</t>
  </si>
  <si>
    <t>C:\Users\DAVE\OneDrive\REFERENCE\Registry_Hacks_to_Review\focusundo.vbs</t>
  </si>
  <si>
    <t>C:\Users\DAVE\OneDrive\REFERENCE\Registry_Hacks_to_Review\focus.vbs</t>
  </si>
  <si>
    <t>C:\Users\DAVE\OneDrive\REFERENCE\Registry_Hacks_to_Review\favmenus.vbs</t>
  </si>
  <si>
    <t>C:\Users\DAVE\OneDrive\REFERENCE\Registry_Hacks_to_Review\favdisable.vbs</t>
  </si>
  <si>
    <t>C:\Users\DAVE\OneDrive\REFERENCE\Registry_Hacks_to_Review\compactcheck.vbs</t>
  </si>
  <si>
    <t>C:\Users\DAVE\OneDrive\REFERENCE\Registry_Hacks_to_Review\clipboardreader.vbs</t>
  </si>
  <si>
    <t>C:\Users\DAVE\OneDrive\REFERENCE\Registry_Hacks_to_Review\changess.vbs</t>
  </si>
  <si>
    <t>C:\Users\DAVE\OneDrive\REFERENCE\Registry_Hacks_to_Review\changeownerorg.vbs</t>
  </si>
  <si>
    <t>C:\Users\DAVE\OneDrive\REFERENCE\Registry_Hacks_to_Review\changedefaultdir.vbs</t>
  </si>
  <si>
    <t>C:\Users\DAVE\OneDrive\REFERENCE\Registry_Hacks_to_Review\alwayshideext.vbs</t>
  </si>
  <si>
    <t>C:\Users\DAVE\OneDrive\REFERENCE\Registry_Hacks_to_Review\accountsid.vbs</t>
  </si>
  <si>
    <t>C:\Users\DAVE\OneDrive\REFERENCE\PKZIP_ERROR_TRAPPING\regopen.vbs</t>
  </si>
  <si>
    <t>C:\Users\DAVE\OneDrive\REFERENCE\PKZIP_ERROR_TRAPPING\focus.vbs</t>
  </si>
  <si>
    <t>C:\Users\DAVE\OneDrive\REFERENCE\NTFS Streams and Hard Links\StrmExt\ReleaseMinDependency\RWStream.vbs</t>
  </si>
  <si>
    <t>C:\Users\DAVE\OneDrive\REFERENCE\NTFS Streams and Hard Links\StrmExt\ReleaseMinDependency\HardLinks.vbs</t>
  </si>
  <si>
    <t>C:\Users\DAVE\OneDrive\REFERENCE\NTFS Streams and Hard Links\RWStream.vbs</t>
  </si>
  <si>
    <t>C:\Users\DAVE\OneDrive\REFERENCE\NTFS Streams and Hard Links\HardLinks.vbs</t>
  </si>
  <si>
    <t>C:\Users\DAVE\OneDrive\REFERENCE\HTML\IEspy_src\IEspy_Network.vbs</t>
  </si>
  <si>
    <t>C:\Users\DAVE\OneDrive\REFERENCE\HTML\IEspy_src\IEspy.vbs</t>
  </si>
  <si>
    <t>C:\Users\DAVE\OneDrive\REFERENCE\BASIC\Common.vbs</t>
  </si>
  <si>
    <t>C:\Users\DAVE\OneDrive\OneDrive - Simple Soft Services, Inc\REFERENCE\NTFS Streams and Hard Links\RWStream.vbs</t>
  </si>
  <si>
    <t>C:\Users\DAVE\OneDrive\OneDrive - Simple Soft Services, Inc\REFERENCE\NTFS Streams and Hard Links\HardLinks.vbs</t>
  </si>
  <si>
    <t>C:\Users\DAVE\Documents\Programming\WinBatch_Studio\Retired\2007TZFIX\scripts\refreshTZinfo.vbs</t>
  </si>
  <si>
    <t>C:\Users\DAVE\Documents\Programming\Visual_Studio_6\DLL\EventLogging\scripts\ELARegistrar_Solution_Elevated.VBS</t>
  </si>
  <si>
    <t>C:\Users\DAVE\Documents\Programming\VBScript\SetDocProps\SetMSODocProps.VBS</t>
  </si>
  <si>
    <t>C:\Users\DAVE\Documents\Programming\VBScript\Recycle_Bin_Pruner\Clear_Recycler_Bin_of_Iitems_Ove_X_Dday_Old.VBS</t>
  </si>
  <si>
    <t>C:\Users\DAVE\Documents\Programming\VBScript\ParseTaggedArgs\ParseTaggedArgs.VBS</t>
  </si>
  <si>
    <t>C:\Users\DAVE\Documents\Programming\VBScript\ExtractWinEvents\Formatting\TestCode\ExtractWinEvents.VBS</t>
  </si>
  <si>
    <t>C:\Users\DAVE\Documents\Programming\VBScript\ExtractWinEvents\ExtractWinEvents.VBS</t>
  </si>
  <si>
    <t>C:\Users\DAVE\Documents\Programming\VBScript\DelTempFiles\ParseTaggedArgs.VBS</t>
  </si>
  <si>
    <t>C:\Users\DAVE\Documents\Programming\VBScript\BELogScan\BELogScan.vbs</t>
  </si>
  <si>
    <t>C:\Users\DAVE\Documents\Programming\VBScript\MakeShortcut.VBS</t>
  </si>
  <si>
    <t>C:\Users\DAVE\Documents\Programming\VBScript\GZip.vbs</t>
  </si>
  <si>
    <t>C:\Users\DAVE\Documents\Programming\VBScript\CreateFolder1.VBS</t>
  </si>
  <si>
    <t>C:\Users\DAVE\Documents\Programming\VBScript\Common.vbs</t>
  </si>
  <si>
    <t>C:\Users\DAVE\Documents\Programming\CMD\XCOPY_InUse_File\REFERENCE\ElevationToolkit1\TestElevation.vbs</t>
  </si>
  <si>
    <t>C:\Users\DAVE\Documents\Programming\CMD\WWSetVBS\WWWhichEngine.VBS</t>
  </si>
  <si>
    <t>C:\Users\DAVE\Documents\Programming\Classic_ASP_Review\scripts\WebApplication1_Solution_Elevated.VBS</t>
  </si>
  <si>
    <t>C:\Program Files (x86)\Windows Kits\8.1\bin\x86\wiusexfm.vbs</t>
  </si>
  <si>
    <t>C:\Program Files (x86)\Windows Kits\8.1\bin\x86\witoansi.vbs</t>
  </si>
  <si>
    <t>C:\Program Files (x86)\Windows Kits\8.1\bin\x86\witextin.vbs</t>
  </si>
  <si>
    <t>C:\Program Files (x86)\Windows Kits\8.1\bin\x86\wisuminf.vbs</t>
  </si>
  <si>
    <t>C:\Program Files (x86)\Windows Kits\8.1\bin\x86\wisubstg.vbs</t>
  </si>
  <si>
    <t>C:\Program Files (x86)\Windows Kits\8.1\bin\x86\wistream.vbs</t>
  </si>
  <si>
    <t>C:\Program Files (x86)\Windows Kits\8.1\bin\x86\wirunsql.vbs</t>
  </si>
  <si>
    <t>C:\Program Files (x86)\Windows Kits\8.1\bin\x86\wipolicy.vbs</t>
  </si>
  <si>
    <t>C:\Program Files (x86)\Windows Kits\8.1\bin\x86\wimerge.vbs</t>
  </si>
  <si>
    <t>C:\Program Files (x86)\Windows Kits\8.1\bin\x86\wimakcab.vbs</t>
  </si>
  <si>
    <t>C:\Program Files (x86)\Windows Kits\8.1\bin\x86\wilstxfm.vbs</t>
  </si>
  <si>
    <t>C:\Program Files (x86)\Windows Kits\8.1\bin\x86\wilstscr.vbs</t>
  </si>
  <si>
    <t>C:\Program Files (x86)\Windows Kits\8.1\bin\x86\wilstprd.vbs</t>
  </si>
  <si>
    <t>C:\Program Files (x86)\Windows Kits\8.1\bin\x86\wilangid.vbs</t>
  </si>
  <si>
    <t>C:\Program Files (x86)\Windows Kits\8.1\bin\x86\wiimport.vbs</t>
  </si>
  <si>
    <t>C:\Program Files (x86)\Windows Kits\8.1\bin\x86\wigenxfm.vbs</t>
  </si>
  <si>
    <t>C:\Program Files (x86)\Windows Kits\8.1\bin\x86\wifilver.vbs</t>
  </si>
  <si>
    <t>C:\Program Files (x86)\Windows Kits\8.1\bin\x86\wifeatur.vbs</t>
  </si>
  <si>
    <t>C:\Program Files (x86)\Windows Kits\8.1\bin\x86\wiexport.vbs</t>
  </si>
  <si>
    <t>C:\Program Files (x86)\Windows Kits\8.1\bin\x86\widiffdb.vbs</t>
  </si>
  <si>
    <t>C:\Program Files (x86)\Windows Kits\8.1\bin\x86\widialog.vbs</t>
  </si>
  <si>
    <t>C:\Program Files (x86)\Windows Kits\8.1\bin\x86\WiCompon.vbs</t>
  </si>
  <si>
    <t>C:\Program Files (x86)\Windows Kits\8.1\bin\x86\register_app.vbs</t>
  </si>
  <si>
    <t>C:\Program Files (x86)\Windows Kits\8.1\bin\x64\wiusexfm.vbs</t>
  </si>
  <si>
    <t>C:\Program Files (x86)\Windows Kits\8.1\bin\x64\witoansi.vbs</t>
  </si>
  <si>
    <t>C:\Program Files (x86)\Windows Kits\8.1\bin\x64\witextin.vbs</t>
  </si>
  <si>
    <t>C:\Program Files (x86)\Windows Kits\8.1\bin\x64\wisuminf.vbs</t>
  </si>
  <si>
    <t>C:\Program Files (x86)\Windows Kits\8.1\bin\x64\wisubstg.vbs</t>
  </si>
  <si>
    <t>C:\Program Files (x86)\Windows Kits\8.1\bin\x64\wistream.vbs</t>
  </si>
  <si>
    <t>C:\Program Files (x86)\Windows Kits\8.1\bin\x64\wirunsql.vbs</t>
  </si>
  <si>
    <t>C:\Program Files (x86)\Windows Kits\8.1\bin\x64\wipolicy.vbs</t>
  </si>
  <si>
    <t>C:\Program Files (x86)\Windows Kits\8.1\bin\x64\wimerge.vbs</t>
  </si>
  <si>
    <t>C:\Program Files (x86)\Windows Kits\8.1\bin\x64\wimakcab.vbs</t>
  </si>
  <si>
    <t>C:\Program Files (x86)\Windows Kits\8.1\bin\x64\wilstxfm.vbs</t>
  </si>
  <si>
    <t>C:\Program Files (x86)\Windows Kits\8.1\bin\x64\wilstscr.vbs</t>
  </si>
  <si>
    <t>C:\Program Files (x86)\Windows Kits\8.1\bin\x64\wilstprd.vbs</t>
  </si>
  <si>
    <t>C:\Program Files (x86)\Windows Kits\8.1\bin\x64\wilangid.vbs</t>
  </si>
  <si>
    <t>C:\Program Files (x86)\Windows Kits\8.1\bin\x64\wiimport.vbs</t>
  </si>
  <si>
    <t>C:\Program Files (x86)\Windows Kits\8.1\bin\x64\wigenxfm.vbs</t>
  </si>
  <si>
    <t>C:\Program Files (x86)\Windows Kits\8.1\bin\x64\wifilver.vbs</t>
  </si>
  <si>
    <t>C:\Program Files (x86)\Windows Kits\8.1\bin\x64\wifeatur.vbs</t>
  </si>
  <si>
    <t>C:\Program Files (x86)\Windows Kits\8.1\bin\x64\wiexport.vbs</t>
  </si>
  <si>
    <t>C:\Program Files (x86)\Windows Kits\8.1\bin\x64\widiffdb.vbs</t>
  </si>
  <si>
    <t>C:\Program Files (x86)\Windows Kits\8.1\bin\x64\widialog.vbs</t>
  </si>
  <si>
    <t>C:\Program Files (x86)\Windows Kits\8.1\bin\x64\WiCompon.vbs</t>
  </si>
  <si>
    <t>C:\Program Files (x86)\Windows Kits\8.1\bin\x64\register_app.vbs</t>
  </si>
  <si>
    <t>C:\Program Files (x86)\Windows Kits\8.0\bin\x86\wiusexfm.vbs</t>
  </si>
  <si>
    <t>C:\Program Files (x86)\Windows Kits\8.0\bin\x86\witoansi.vbs</t>
  </si>
  <si>
    <t>C:\Program Files (x86)\Windows Kits\8.0\bin\x86\witextin.vbs</t>
  </si>
  <si>
    <t>C:\Program Files (x86)\Windows Kits\8.0\bin\x86\wisuminf.vbs</t>
  </si>
  <si>
    <t>C:\Program Files (x86)\Windows Kits\8.0\bin\x86\wisubstg.vbs</t>
  </si>
  <si>
    <t>C:\Program Files (x86)\Windows Kits\8.0\bin\x86\wistream.vbs</t>
  </si>
  <si>
    <t>C:\Program Files (x86)\Windows Kits\8.0\bin\x86\wirunsql.vbs</t>
  </si>
  <si>
    <t>C:\Program Files (x86)\Windows Kits\8.0\bin\x86\wipolicy.vbs</t>
  </si>
  <si>
    <t>C:\Program Files (x86)\Windows Kits\8.0\bin\x86\wimerge.vbs</t>
  </si>
  <si>
    <t>C:\Program Files (x86)\Windows Kits\8.0\bin\x86\wimakcab.vbs</t>
  </si>
  <si>
    <t>C:\Program Files (x86)\Windows Kits\8.0\bin\x86\wilstxfm.vbs</t>
  </si>
  <si>
    <t>C:\Program Files (x86)\Windows Kits\8.0\bin\x86\wilstscr.vbs</t>
  </si>
  <si>
    <t>C:\Program Files (x86)\Windows Kits\8.0\bin\x86\wilstprd.vbs</t>
  </si>
  <si>
    <t>C:\Program Files (x86)\Windows Kits\8.0\bin\x86\wilangid.vbs</t>
  </si>
  <si>
    <t>C:\Program Files (x86)\Windows Kits\8.0\bin\x86\wiimport.vbs</t>
  </si>
  <si>
    <t>C:\Program Files (x86)\Windows Kits\8.0\bin\x86\wigenxfm.vbs</t>
  </si>
  <si>
    <t>C:\Program Files (x86)\Windows Kits\8.0\bin\x86\wifilver.vbs</t>
  </si>
  <si>
    <t>C:\Program Files (x86)\Windows Kits\8.0\bin\x86\wifeatur.vbs</t>
  </si>
  <si>
    <t>C:\Program Files (x86)\Windows Kits\8.0\bin\x86\wiexport.vbs</t>
  </si>
  <si>
    <t>C:\Program Files (x86)\Windows Kits\8.0\bin\x86\widiffdb.vbs</t>
  </si>
  <si>
    <t>C:\Program Files (x86)\Windows Kits\8.0\bin\x86\widialog.vbs</t>
  </si>
  <si>
    <t>C:\Program Files (x86)\Windows Kits\8.0\bin\x86\WiCompon.vbs</t>
  </si>
  <si>
    <t>C:\Program Files (x86)\Windows Kits\8.0\bin\x86\register_app.vbs</t>
  </si>
  <si>
    <t>C:\Program Files (x86)\Windows Kits\8.0\bin\x64\wiusexfm.vbs</t>
  </si>
  <si>
    <t>C:\Program Files (x86)\Windows Kits\8.0\bin\x64\witoansi.vbs</t>
  </si>
  <si>
    <t>C:\Program Files (x86)\Windows Kits\8.0\bin\x64\witextin.vbs</t>
  </si>
  <si>
    <t>C:\Program Files (x86)\Windows Kits\8.0\bin\x64\wisuminf.vbs</t>
  </si>
  <si>
    <t>C:\Program Files (x86)\Windows Kits\8.0\bin\x64\wisubstg.vbs</t>
  </si>
  <si>
    <t>C:\Program Files (x86)\Windows Kits\8.0\bin\x64\wistream.vbs</t>
  </si>
  <si>
    <t>C:\Program Files (x86)\Windows Kits\8.0\bin\x64\wirunsql.vbs</t>
  </si>
  <si>
    <t>C:\Program Files (x86)\Windows Kits\8.0\bin\x64\wipolicy.vbs</t>
  </si>
  <si>
    <t>C:\Program Files (x86)\Windows Kits\8.0\bin\x64\wimerge.vbs</t>
  </si>
  <si>
    <t>C:\Program Files (x86)\Windows Kits\8.0\bin\x64\wimakcab.vbs</t>
  </si>
  <si>
    <t>C:\Program Files (x86)\Windows Kits\8.0\bin\x64\wilstxfm.vbs</t>
  </si>
  <si>
    <t>C:\Program Files (x86)\Windows Kits\8.0\bin\x64\wilstscr.vbs</t>
  </si>
  <si>
    <t>C:\Program Files (x86)\Windows Kits\8.0\bin\x64\wilstprd.vbs</t>
  </si>
  <si>
    <t>C:\Program Files (x86)\Windows Kits\8.0\bin\x64\wilangid.vbs</t>
  </si>
  <si>
    <t>C:\Program Files (x86)\Windows Kits\8.0\bin\x64\wiimport.vbs</t>
  </si>
  <si>
    <t>C:\Program Files (x86)\Windows Kits\8.0\bin\x64\wigenxfm.vbs</t>
  </si>
  <si>
    <t>C:\Program Files (x86)\Windows Kits\8.0\bin\x64\wifilver.vbs</t>
  </si>
  <si>
    <t>C:\Program Files (x86)\Windows Kits\8.0\bin\x64\wifeatur.vbs</t>
  </si>
  <si>
    <t>C:\Program Files (x86)\Windows Kits\8.0\bin\x64\wiexport.vbs</t>
  </si>
  <si>
    <t>C:\Program Files (x86)\Windows Kits\8.0\bin\x64\widiffdb.vbs</t>
  </si>
  <si>
    <t>C:\Program Files (x86)\Windows Kits\8.0\bin\x64\widialog.vbs</t>
  </si>
  <si>
    <t>C:\Program Files (x86)\Windows Kits\8.0\bin\x64\WiCompon.vbs</t>
  </si>
  <si>
    <t>C:\Program Files (x86)\Windows Kits\8.0\bin\x64\register_app.vbs</t>
  </si>
  <si>
    <t>C:\Program Files (x86)\Microsoft SDKs\Windows\v7.1A\Include\SMTPReg.Vbs</t>
  </si>
  <si>
    <t>C:\Program Files (x86)\Microsoft SDKs\Windows\v7.1A\Include\NNTPReg.Vbs</t>
  </si>
  <si>
    <t>C:\Program Files (x86)\Microsoft SDKs\Windows\v7.1A\Include\DHtmled.vbs</t>
  </si>
  <si>
    <t>C:\Program Files (x86)\Microsoft Office\Office14\OSPP.VBS</t>
  </si>
  <si>
    <t>C:\Program Files (x86)\Gateway\Welcome Center\Unpin\Unpin.vbs</t>
  </si>
  <si>
    <t>C:\Program Files\ImageMagick-6.9.1-Q16\ImageMagickObject\Tests\SimpleTest.vbs</t>
  </si>
  <si>
    <t>C:\Program Files\ImageMagick-6.9.1-Q16\ImageMagickObject\Tests\ArrayTest.vbs</t>
  </si>
  <si>
    <t>C:\OEM\Preload\utility\_NowIntoDT.vbs</t>
  </si>
  <si>
    <t>C:\OEM\Preload\Autorun\APP\Netflix Shortcut\InstallNetflixP.vbs</t>
  </si>
  <si>
    <t>C:\OEM\Preload\Autorun\APP\Netflix Shortcut\InstallNetflixG.vbs</t>
  </si>
  <si>
    <t>C:\OEM\Preload\Autorun\APP\Netflix Shortcut\InstallNetflixE.vbs</t>
  </si>
  <si>
    <t>C:\OEM\Preload\Autorun\APP\Netflix Shortcut\InstallNetflixA.vbs</t>
  </si>
  <si>
    <t>C:\OEM\Preload\Autorun\APP\AUPEO\MakeLinkAupeo.vbs</t>
  </si>
  <si>
    <t>C:\OEM\ABB\InstallAmazon_shortcut.vbs</t>
  </si>
  <si>
    <t>C:\bin\Perl\eg\Windows Script Components\test.vbs</t>
  </si>
  <si>
    <t>C:\bin\ParseTaggedArgs.VBS</t>
  </si>
  <si>
    <t>C:\bin\MakeShortcut.VBS</t>
  </si>
  <si>
    <t>C:\bin\Clear_Recycle_Bin_of_Items_Over_X_Days_Old.VBS</t>
  </si>
  <si>
    <t>Local_FileName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</si>
</sst>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yyyy\/mm\/dd\ hh:mm:ss"/>
  </numFmts>
  <fonts count="13" x14ac:knownFonts="1">
    <font>
      <sz val="11"/>
      <color theme="1"/>
      <name val="Consolas"/>
      <family val="2"/>
    </font>
    <font>
      <b/>
      <sz val="14"/>
      <color theme="1"/>
      <name val="Tahoma"/>
      <family val="2"/>
    </font>
    <font>
      <sz val="11"/>
      <color theme="1"/>
      <name val="Tahoma"/>
      <family val="2"/>
    </font>
    <font>
      <u/>
      <sz val="11"/>
      <color theme="10"/>
      <name val="Consolas"/>
      <family val="2"/>
    </font>
    <font>
      <sz val="11"/>
      <color theme="10"/>
      <name val="Consolas"/>
      <family val="2"/>
    </font>
    <font>
      <b/>
      <sz val="14"/>
      <color theme="9" tint="-0.499984740745262"/>
      <name val="Tahoma"/>
      <family val="2"/>
    </font>
    <font>
      <sz val="8"/>
      <color theme="1"/>
      <name val="Consolas"/>
      <family val="2"/>
    </font>
    <font>
      <b/>
      <sz val="14"/>
      <color theme="0"/>
      <name val="Tahoma"/>
      <family val="2"/>
    </font>
    <font>
      <b/>
      <sz val="12"/>
      <color indexed="43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nsolas"/>
      <family val="3"/>
    </font>
    <font>
      <b/>
      <sz val="1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indexed="1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0"/>
      </top>
      <bottom style="thin">
        <color theme="1" tint="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8" fillId="7" borderId="1"/>
    <xf numFmtId="0" fontId="9" fillId="0" borderId="0" applyNumberFormat="0" applyFill="0" applyBorder="0" applyAlignment="0" applyProtection="0"/>
    <xf numFmtId="0" fontId="10" fillId="0" borderId="0"/>
    <xf numFmtId="0" fontId="11" fillId="0" borderId="0"/>
    <xf numFmtId="0" fontId="12" fillId="0" borderId="0"/>
  </cellStyleXfs>
  <cellXfs count="30">
    <xf numFmtId="0" fontId="0" fillId="0" borderId="0" xfId="0"/>
    <xf numFmtId="0" fontId="1" fillId="0" borderId="0" xfId="0" applyFont="1" applyBorder="1" applyAlignment="1">
      <alignment vertical="top"/>
    </xf>
    <xf numFmtId="0" fontId="1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0" fillId="0" borderId="1" xfId="0" applyBorder="1"/>
    <xf numFmtId="22" fontId="0" fillId="0" borderId="0" xfId="0" applyNumberFormat="1"/>
    <xf numFmtId="0" fontId="5" fillId="5" borderId="2" xfId="0" applyFont="1" applyFill="1" applyBorder="1"/>
    <xf numFmtId="0" fontId="5" fillId="5" borderId="2" xfId="0" applyFont="1" applyFill="1" applyBorder="1" applyAlignment="1">
      <alignment horizontal="right"/>
    </xf>
    <xf numFmtId="3" fontId="0" fillId="0" borderId="2" xfId="0" applyNumberFormat="1" applyBorder="1"/>
    <xf numFmtId="168" fontId="0" fillId="0" borderId="2" xfId="0" applyNumberFormat="1" applyBorder="1"/>
    <xf numFmtId="0" fontId="6" fillId="0" borderId="2" xfId="0" applyFont="1" applyBorder="1"/>
    <xf numFmtId="3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3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7" fillId="6" borderId="5" xfId="0" applyFont="1" applyFill="1" applyBorder="1"/>
    <xf numFmtId="0" fontId="3" fillId="0" borderId="0" xfId="1"/>
    <xf numFmtId="0" fontId="3" fillId="0" borderId="6" xfId="1" applyBorder="1" applyAlignment="1">
      <alignment horizontal="left" vertical="top"/>
    </xf>
    <xf numFmtId="0" fontId="3" fillId="0" borderId="7" xfId="1" applyBorder="1" applyAlignment="1">
      <alignment horizontal="left" vertical="top"/>
    </xf>
    <xf numFmtId="0" fontId="3" fillId="0" borderId="8" xfId="1" applyBorder="1" applyAlignment="1">
      <alignment horizontal="left"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10" xfId="0" applyFill="1" applyBorder="1" applyAlignment="1">
      <alignment vertical="top"/>
    </xf>
    <xf numFmtId="0" fontId="0" fillId="4" borderId="9" xfId="0" applyFill="1" applyBorder="1" applyAlignment="1">
      <alignment vertical="top"/>
    </xf>
    <xf numFmtId="0" fontId="0" fillId="4" borderId="10" xfId="0" applyFill="1" applyBorder="1" applyAlignment="1">
      <alignment vertical="top"/>
    </xf>
  </cellXfs>
  <cellStyles count="7">
    <cellStyle name="Column_Label" xfId="2"/>
    <cellStyle name="Hyperlink" xfId="1" builtinId="8"/>
    <cellStyle name="Hyperlink 2" xfId="3"/>
    <cellStyle name="Normal" xfId="0" builtinId="0"/>
    <cellStyle name="Normal 2" xfId="4"/>
    <cellStyle name="Normal 3" xfId="5"/>
    <cellStyle name="Row_Label" xfId="6"/>
  </cellStyles>
  <dxfs count="20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n/Excel_AddIns/P6CXLSLib3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ringTests True-False Samples"/>
      <sheetName val="Other Samples"/>
      <sheetName val="VER_STRING_NAME_P6C"/>
    </sheetNames>
    <definedNames>
      <definedName name="GetFile"/>
      <definedName name="GetFolder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tackoverflow.com/questions/19954001/calling-a-net-library-method-from-vb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3"/>
  <sheetViews>
    <sheetView workbookViewId="0">
      <selection sqref="A1:A3"/>
    </sheetView>
  </sheetViews>
  <sheetFormatPr defaultRowHeight="15" x14ac:dyDescent="0.25"/>
  <cols>
    <col min="1" max="1" width="32.5" bestFit="1" customWidth="1"/>
  </cols>
  <sheetData>
    <row r="1" spans="1:1" x14ac:dyDescent="0.25">
      <c r="A1" s="18" t="s">
        <v>155</v>
      </c>
    </row>
    <row r="2" spans="1:1" x14ac:dyDescent="0.25">
      <c r="A2" s="18" t="s">
        <v>154</v>
      </c>
    </row>
    <row r="3" spans="1:1" x14ac:dyDescent="0.25">
      <c r="A3" s="18" t="s">
        <v>156</v>
      </c>
    </row>
  </sheetData>
  <sortState caseSensitive="1" ref="A1:A3">
    <sortCondition ref="A1"/>
  </sortState>
  <hyperlinks>
    <hyperlink ref="A2" location="'Check List'!$A$1" display="Check List"/>
    <hyperlink ref="A1" location="'_Index of Named Ranges'!$A$1" display="_Index of Named Ranges"/>
    <hyperlink ref="A3" location="Inventory_WizardWrx_DLLServices!$A$1" display="Inventory_WizardWrx_DLLServic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defaultRowHeight="15" x14ac:dyDescent="0.25"/>
  <cols>
    <col min="1" max="1" width="30.5" bestFit="1" customWidth="1"/>
    <col min="2" max="2" width="38.75" bestFit="1" customWidth="1"/>
    <col min="3" max="3" width="25.75" bestFit="1" customWidth="1"/>
    <col min="4" max="4" width="24.25" bestFit="1" customWidth="1"/>
    <col min="5" max="5" width="10.875" bestFit="1" customWidth="1"/>
    <col min="6" max="6" width="7.75" bestFit="1" customWidth="1"/>
    <col min="7" max="7" width="11.5" bestFit="1" customWidth="1"/>
    <col min="8" max="8" width="6.875" bestFit="1" customWidth="1"/>
  </cols>
  <sheetData>
    <row r="1" spans="1:8" ht="18" x14ac:dyDescent="0.25">
      <c r="A1" s="17" t="s">
        <v>5</v>
      </c>
      <c r="B1" s="17" t="s">
        <v>153</v>
      </c>
      <c r="C1" s="17" t="s">
        <v>152</v>
      </c>
      <c r="D1" s="17" t="s">
        <v>151</v>
      </c>
      <c r="E1" s="17" t="s">
        <v>150</v>
      </c>
      <c r="F1" s="17" t="s">
        <v>149</v>
      </c>
      <c r="G1" s="17" t="s">
        <v>148</v>
      </c>
      <c r="H1" s="17" t="s">
        <v>147</v>
      </c>
    </row>
    <row r="2" spans="1:8" x14ac:dyDescent="0.25">
      <c r="A2" s="16" t="s">
        <v>157</v>
      </c>
      <c r="B2" s="16" t="s">
        <v>158</v>
      </c>
      <c r="C2" s="16" t="str">
        <f ca="1">IF(LEN($A2)&gt;0,CELL("contents",OFFSET(INDIRECT($A2),0,0)),"")</f>
        <v>_Index of Named Ranges</v>
      </c>
      <c r="D2" s="16" t="str">
        <f>IF(LEN($B2)&gt;0,SUBSTITUTE(MID($B2,2,FIND("!",$B2)-2),"'",""),"")</f>
        <v>Index</v>
      </c>
      <c r="E2" s="16" t="str">
        <f>IF(LEN($B2)&gt;0,RIGHT($B2,LEN($B2)-FIND("!",$B2)),"")</f>
        <v>$A$1:$A$3</v>
      </c>
      <c r="F2" s="15">
        <f ca="1">IF(LEN($A2)&gt;0,ROWS(INDIRECT($A2)),"")</f>
        <v>3</v>
      </c>
      <c r="G2" s="15">
        <f ca="1">IF(LEN($A2)&gt;0,COLUMNS(INDIRECT($A2)),"")</f>
        <v>1</v>
      </c>
      <c r="H2" s="15">
        <f ca="1">IF(LEN($A2)&gt;0,F2*G2,"")</f>
        <v>3</v>
      </c>
    </row>
    <row r="3" spans="1:8" x14ac:dyDescent="0.25">
      <c r="A3" s="14" t="s">
        <v>159</v>
      </c>
      <c r="B3" s="14" t="s">
        <v>160</v>
      </c>
      <c r="C3" s="14">
        <f ca="1">IF(LEN($A3)&gt;0,CELL("contents",OFFSET(INDIRECT($A3),0,0)),"")</f>
        <v>42526.847777777781</v>
      </c>
      <c r="D3" s="14" t="str">
        <f>IF(LEN($B3)&gt;0,SUBSTITUTE(MID($B3,2,FIND("!",$B3)-2),"'",""),"")</f>
        <v>Inventory_WizardWrx_DLLServices</v>
      </c>
      <c r="E3" s="14" t="str">
        <f>IF(LEN($B3)&gt;0,RIGHT($B3,LEN($B3)-FIND("!",$B3)),"")</f>
        <v>$D$2</v>
      </c>
      <c r="F3" s="13">
        <f ca="1">IF(LEN($A3)&gt;0,ROWS(INDIRECT($A3)),"")</f>
        <v>1</v>
      </c>
      <c r="G3" s="13">
        <f ca="1">IF(LEN($A3)&gt;0,COLUMNS(INDIRECT($A3)),"")</f>
        <v>1</v>
      </c>
      <c r="H3" s="13">
        <f ca="1">IF(LEN($A3)&gt;0,F3*G3,"")</f>
        <v>1</v>
      </c>
    </row>
    <row r="4" spans="1:8" x14ac:dyDescent="0.25">
      <c r="A4" s="14" t="s">
        <v>161</v>
      </c>
      <c r="B4" s="14" t="s">
        <v>162</v>
      </c>
      <c r="C4" s="14" t="str">
        <f ca="1">IF(LEN($A4)&gt;0,CELL("contents",OFFSET(INDIRECT($A4),0,0)),"")</f>
        <v>C:\Users\DAVE\Documents\Visual Studio 2013\Projects\WizardWrx_Libs\AnyCSV\NOTES\</v>
      </c>
      <c r="D4" s="14" t="str">
        <f>IF(LEN($B4)&gt;0,SUBSTITUTE(MID($B4,2,FIND("!",$B4)-2),"'",""),"")</f>
        <v>Check List</v>
      </c>
      <c r="E4" s="14" t="str">
        <f>IF(LEN($B4)&gt;0,RIGHT($B4,LEN($B4)-FIND("!",$B4)),"")</f>
        <v>$E$3</v>
      </c>
      <c r="F4" s="13">
        <f ca="1">IF(LEN($A4)&gt;0,ROWS(INDIRECT($A4)),"")</f>
        <v>1</v>
      </c>
      <c r="G4" s="13">
        <f ca="1">IF(LEN($A4)&gt;0,COLUMNS(INDIRECT($A4)),"")</f>
        <v>1</v>
      </c>
      <c r="H4" s="13">
        <f ca="1">IF(LEN($A4)&gt;0,F4*G4,"")</f>
        <v>1</v>
      </c>
    </row>
    <row r="5" spans="1:8" x14ac:dyDescent="0.25">
      <c r="A5" s="14" t="s">
        <v>163</v>
      </c>
      <c r="B5" s="14" t="s">
        <v>162</v>
      </c>
      <c r="C5" s="14" t="str">
        <f ca="1">IF(LEN($A5)&gt;0,CELL("contents",OFFSET(INDIRECT($A5),0,0)),"")</f>
        <v>C:\Users\DAVE\Documents\Visual Studio 2013\Projects\WizardWrx_Libs\AnyCSV\NOTES\</v>
      </c>
      <c r="D5" s="14" t="str">
        <f>IF(LEN($B5)&gt;0,SUBSTITUTE(MID($B5,2,FIND("!",$B5)-2),"'",""),"")</f>
        <v>Check List</v>
      </c>
      <c r="E5" s="14" t="str">
        <f>IF(LEN($B5)&gt;0,RIGHT($B5,LEN($B5)-FIND("!",$B5)),"")</f>
        <v>$E$3</v>
      </c>
      <c r="F5" s="13">
        <f ca="1">IF(LEN($A5)&gt;0,ROWS(INDIRECT($A5)),"")</f>
        <v>1</v>
      </c>
      <c r="G5" s="13">
        <f ca="1">IF(LEN($A5)&gt;0,COLUMNS(INDIRECT($A5)),"")</f>
        <v>1</v>
      </c>
      <c r="H5" s="13">
        <f ca="1">IF(LEN($A5)&gt;0,F5*G5,"")</f>
        <v>1</v>
      </c>
    </row>
    <row r="6" spans="1:8" x14ac:dyDescent="0.25">
      <c r="A6" s="14"/>
      <c r="B6" s="14"/>
      <c r="C6" s="14" t="str">
        <f ca="1">IF(LEN($A6)&gt;0,CELL("contents",OFFSET(INDIRECT($A6),0,0)),"")</f>
        <v/>
      </c>
      <c r="D6" s="14" t="str">
        <f>IF(LEN($B6)&gt;0,SUBSTITUTE(MID($B6,2,FIND("!",$B6)-2),"'",""),"")</f>
        <v/>
      </c>
      <c r="E6" s="14" t="str">
        <f>IF(LEN($B6)&gt;0,RIGHT($B6,LEN($B6)-FIND("!",$B6)),"")</f>
        <v/>
      </c>
      <c r="F6" s="13" t="str">
        <f ca="1">IF(LEN($A6)&gt;0,ROWS(INDIRECT($A6)),"")</f>
        <v/>
      </c>
      <c r="G6" s="13" t="str">
        <f ca="1">IF(LEN($A6)&gt;0,COLUMNS(INDIRECT($A6)),"")</f>
        <v/>
      </c>
      <c r="H6" s="13" t="str">
        <f>IF(LEN($A6)&gt;0,F6*G6,"")</f>
        <v/>
      </c>
    </row>
    <row r="7" spans="1:8" x14ac:dyDescent="0.25">
      <c r="A7" s="14"/>
      <c r="B7" s="14"/>
      <c r="C7" s="14" t="str">
        <f ca="1">IF(LEN($A7)&gt;0,CELL("contents",OFFSET(INDIRECT($A7),0,0)),"")</f>
        <v/>
      </c>
      <c r="D7" s="14" t="str">
        <f>IF(LEN($B7)&gt;0,SUBSTITUTE(MID($B7,2,FIND("!",$B7)-2),"'",""),"")</f>
        <v/>
      </c>
      <c r="E7" s="14" t="str">
        <f>IF(LEN($B7)&gt;0,RIGHT($B7,LEN($B7)-FIND("!",$B7)),"")</f>
        <v/>
      </c>
      <c r="F7" s="13" t="str">
        <f ca="1">IF(LEN($A7)&gt;0,ROWS(INDIRECT($A7)),"")</f>
        <v/>
      </c>
      <c r="G7" s="13" t="str">
        <f ca="1">IF(LEN($A7)&gt;0,COLUMNS(INDIRECT($A7)),"")</f>
        <v/>
      </c>
      <c r="H7" s="13" t="str">
        <f>IF(LEN($A7)&gt;0,F7*G7,"")</f>
        <v/>
      </c>
    </row>
    <row r="8" spans="1:8" x14ac:dyDescent="0.25">
      <c r="A8" s="14"/>
      <c r="B8" s="14"/>
      <c r="C8" s="14" t="str">
        <f ca="1">IF(LEN($A8)&gt;0,CELL("contents",OFFSET(INDIRECT($A8),0,0)),"")</f>
        <v/>
      </c>
      <c r="D8" s="14" t="str">
        <f>IF(LEN($B8)&gt;0,SUBSTITUTE(MID($B8,2,FIND("!",$B8)-2),"'",""),"")</f>
        <v/>
      </c>
      <c r="E8" s="14" t="str">
        <f>IF(LEN($B8)&gt;0,RIGHT($B8,LEN($B8)-FIND("!",$B8)),"")</f>
        <v/>
      </c>
      <c r="F8" s="13" t="str">
        <f ca="1">IF(LEN($A8)&gt;0,ROWS(INDIRECT($A8)),"")</f>
        <v/>
      </c>
      <c r="G8" s="13" t="str">
        <f ca="1">IF(LEN($A8)&gt;0,COLUMNS(INDIRECT($A8)),"")</f>
        <v/>
      </c>
      <c r="H8" s="13" t="str">
        <f>IF(LEN($A8)&gt;0,F8*G8,"")</f>
        <v/>
      </c>
    </row>
    <row r="9" spans="1:8" x14ac:dyDescent="0.25">
      <c r="A9" s="16"/>
      <c r="B9" s="16"/>
      <c r="C9" s="16" t="str">
        <f ca="1">IF(LEN($A9)&gt;0,CELL("contents",OFFSET(INDIRECT($A9),0,0)),"")</f>
        <v/>
      </c>
      <c r="D9" s="16" t="str">
        <f>IF(LEN($B9)&gt;0,SUBSTITUTE(MID($B9,2,FIND("!",$B9)-2),"'",""),"")</f>
        <v/>
      </c>
      <c r="E9" s="16" t="str">
        <f>IF(LEN($B9)&gt;0,RIGHT($B9,LEN($B9)-FIND("!",$B9)),"")</f>
        <v/>
      </c>
      <c r="F9" s="15" t="str">
        <f ca="1">IF(LEN($A9)&gt;0,ROWS(INDIRECT($A9)),"")</f>
        <v/>
      </c>
      <c r="G9" s="15" t="str">
        <f ca="1">IF(LEN($A9)&gt;0,COLUMNS(INDIRECT($A9)),"")</f>
        <v/>
      </c>
      <c r="H9" s="15" t="str">
        <f>IF(LEN($A9)&gt;0,F9*G9,"")</f>
        <v/>
      </c>
    </row>
    <row r="10" spans="1:8" x14ac:dyDescent="0.25">
      <c r="A10" s="14"/>
      <c r="B10" s="14"/>
      <c r="C10" s="14" t="str">
        <f ca="1">IF(LEN($A10)&gt;0,CELL("contents",OFFSET(INDIRECT($A10),0,0)),"")</f>
        <v/>
      </c>
      <c r="D10" s="14" t="str">
        <f>IF(LEN($B10)&gt;0,SUBSTITUTE(MID($B10,2,FIND("!",$B10)-2),"'",""),"")</f>
        <v/>
      </c>
      <c r="E10" s="14" t="str">
        <f>IF(LEN($B10)&gt;0,RIGHT($B10,LEN($B10)-FIND("!",$B10)),"")</f>
        <v/>
      </c>
      <c r="F10" s="13" t="str">
        <f ca="1">IF(LEN($A10)&gt;0,ROWS(INDIRECT($A10)),"")</f>
        <v/>
      </c>
      <c r="G10" s="13" t="str">
        <f ca="1">IF(LEN($A10)&gt;0,COLUMNS(INDIRECT($A10)),"")</f>
        <v/>
      </c>
      <c r="H10" s="13" t="str">
        <f>IF(LEN($A10)&gt;0,F10*G10,"")</f>
        <v/>
      </c>
    </row>
    <row r="11" spans="1:8" x14ac:dyDescent="0.25">
      <c r="A11" s="14"/>
      <c r="B11" s="14"/>
      <c r="C11" s="14" t="str">
        <f ca="1">IF(LEN($A11)&gt;0,CELL("contents",OFFSET(INDIRECT($A11),0,0)),"")</f>
        <v/>
      </c>
      <c r="D11" s="14" t="str">
        <f>IF(LEN($B11)&gt;0,SUBSTITUTE(MID($B11,2,FIND("!",$B11)-2),"'",""),"")</f>
        <v/>
      </c>
      <c r="E11" s="14" t="str">
        <f>IF(LEN($B11)&gt;0,RIGHT($B11,LEN($B11)-FIND("!",$B11)),"")</f>
        <v/>
      </c>
      <c r="F11" s="13" t="str">
        <f ca="1">IF(LEN($A11)&gt;0,ROWS(INDIRECT($A11)),"")</f>
        <v/>
      </c>
      <c r="G11" s="13" t="str">
        <f ca="1">IF(LEN($A11)&gt;0,COLUMNS(INDIRECT($A11)),"")</f>
        <v/>
      </c>
      <c r="H11" s="13" t="str">
        <f>IF(LEN($A11)&gt;0,F11*G11,"")</f>
        <v/>
      </c>
    </row>
    <row r="12" spans="1:8" x14ac:dyDescent="0.25">
      <c r="A12" s="14"/>
      <c r="B12" s="14"/>
      <c r="C12" s="14" t="str">
        <f ca="1">IF(LEN($A12)&gt;0,CELL("contents",OFFSET(INDIRECT($A12),0,0)),"")</f>
        <v/>
      </c>
      <c r="D12" s="14" t="str">
        <f>IF(LEN($B12)&gt;0,SUBSTITUTE(MID($B12,2,FIND("!",$B12)-2),"'",""),"")</f>
        <v/>
      </c>
      <c r="E12" s="14" t="str">
        <f>IF(LEN($B12)&gt;0,RIGHT($B12,LEN($B12)-FIND("!",$B12)),"")</f>
        <v/>
      </c>
      <c r="F12" s="13" t="str">
        <f ca="1">IF(LEN($A12)&gt;0,ROWS(INDIRECT($A12)),"")</f>
        <v/>
      </c>
      <c r="G12" s="13" t="str">
        <f ca="1">IF(LEN($A12)&gt;0,COLUMNS(INDIRECT($A12)),"")</f>
        <v/>
      </c>
      <c r="H12" s="13" t="str">
        <f>IF(LEN($A12)&gt;0,F12*G12,"")</f>
        <v/>
      </c>
    </row>
    <row r="13" spans="1:8" x14ac:dyDescent="0.25">
      <c r="A13" s="14"/>
      <c r="B13" s="14"/>
      <c r="C13" s="14" t="str">
        <f ca="1">IF(LEN($A13)&gt;0,CELL("contents",OFFSET(INDIRECT($A13),0,0)),"")</f>
        <v/>
      </c>
      <c r="D13" s="14" t="str">
        <f>IF(LEN($B13)&gt;0,SUBSTITUTE(MID($B13,2,FIND("!",$B13)-2),"'",""),"")</f>
        <v/>
      </c>
      <c r="E13" s="14" t="str">
        <f>IF(LEN($B13)&gt;0,RIGHT($B13,LEN($B13)-FIND("!",$B13)),"")</f>
        <v/>
      </c>
      <c r="F13" s="13" t="str">
        <f ca="1">IF(LEN($A13)&gt;0,ROWS(INDIRECT($A13)),"")</f>
        <v/>
      </c>
      <c r="G13" s="13" t="str">
        <f ca="1">IF(LEN($A13)&gt;0,COLUMNS(INDIRECT($A13)),"")</f>
        <v/>
      </c>
      <c r="H13" s="13" t="str">
        <f>IF(LEN($A13)&gt;0,F13*G13,"")</f>
        <v/>
      </c>
    </row>
    <row r="14" spans="1:8" x14ac:dyDescent="0.25">
      <c r="A14" s="14"/>
      <c r="B14" s="14"/>
      <c r="C14" s="14" t="str">
        <f ca="1">IF(LEN($A14)&gt;0,CELL("contents",OFFSET(INDIRECT($A14),0,0)),"")</f>
        <v/>
      </c>
      <c r="D14" s="14" t="str">
        <f>IF(LEN($B14)&gt;0,SUBSTITUTE(MID($B14,2,FIND("!",$B14)-2),"'",""),"")</f>
        <v/>
      </c>
      <c r="E14" s="14" t="str">
        <f>IF(LEN($B14)&gt;0,RIGHT($B14,LEN($B14)-FIND("!",$B14)),"")</f>
        <v/>
      </c>
      <c r="F14" s="13" t="str">
        <f ca="1">IF(LEN($A14)&gt;0,ROWS(INDIRECT($A14)),"")</f>
        <v/>
      </c>
      <c r="G14" s="13" t="str">
        <f ca="1">IF(LEN($A14)&gt;0,COLUMNS(INDIRECT($A14)),"")</f>
        <v/>
      </c>
      <c r="H14" s="13" t="str">
        <f>IF(LEN($A14)&gt;0,F14*G14,"")</f>
        <v/>
      </c>
    </row>
    <row r="15" spans="1:8" x14ac:dyDescent="0.25">
      <c r="A15" s="14"/>
      <c r="B15" s="14"/>
      <c r="C15" s="14" t="str">
        <f ca="1">IF(LEN($A15)&gt;0,CELL("contents",OFFSET(INDIRECT($A15),0,0)),"")</f>
        <v/>
      </c>
      <c r="D15" s="14" t="str">
        <f>IF(LEN($B15)&gt;0,SUBSTITUTE(MID($B15,2,FIND("!",$B15)-2),"'",""),"")</f>
        <v/>
      </c>
      <c r="E15" s="14" t="str">
        <f>IF(LEN($B15)&gt;0,RIGHT($B15,LEN($B15)-FIND("!",$B15)),"")</f>
        <v/>
      </c>
      <c r="F15" s="13" t="str">
        <f ca="1">IF(LEN($A15)&gt;0,ROWS(INDIRECT($A15)),"")</f>
        <v/>
      </c>
      <c r="G15" s="13" t="str">
        <f ca="1">IF(LEN($A15)&gt;0,COLUMNS(INDIRECT($A15)),"")</f>
        <v/>
      </c>
      <c r="H15" s="13" t="str">
        <f>IF(LEN($A15)&gt;0,F15*G15,"")</f>
        <v/>
      </c>
    </row>
    <row r="16" spans="1:8" x14ac:dyDescent="0.25">
      <c r="A16" s="16"/>
      <c r="B16" s="16"/>
      <c r="C16" s="16" t="str">
        <f ca="1">IF(LEN($A16)&gt;0,CELL("contents",OFFSET(INDIRECT($A16),0,0)),"")</f>
        <v/>
      </c>
      <c r="D16" s="16" t="str">
        <f>IF(LEN($B16)&gt;0,SUBSTITUTE(MID($B16,2,FIND("!",$B16)-2),"'",""),"")</f>
        <v/>
      </c>
      <c r="E16" s="16" t="str">
        <f>IF(LEN($B16)&gt;0,RIGHT($B16,LEN($B16)-FIND("!",$B16)),"")</f>
        <v/>
      </c>
      <c r="F16" s="15" t="str">
        <f ca="1">IF(LEN($A16)&gt;0,ROWS(INDIRECT($A16)),"")</f>
        <v/>
      </c>
      <c r="G16" s="15" t="str">
        <f ca="1">IF(LEN($A16)&gt;0,COLUMNS(INDIRECT($A16)),"")</f>
        <v/>
      </c>
      <c r="H16" s="15" t="str">
        <f>IF(LEN($A16)&gt;0,F16*G16,"")</f>
        <v/>
      </c>
    </row>
    <row r="17" spans="1:8" x14ac:dyDescent="0.25">
      <c r="A17" s="14"/>
      <c r="B17" s="14"/>
      <c r="C17" s="14" t="str">
        <f ca="1">IF(LEN($A17)&gt;0,CELL("contents",OFFSET(INDIRECT($A17),0,0)),"")</f>
        <v/>
      </c>
      <c r="D17" s="14" t="str">
        <f>IF(LEN($B17)&gt;0,SUBSTITUTE(MID($B17,2,FIND("!",$B17)-2),"'",""),"")</f>
        <v/>
      </c>
      <c r="E17" s="14" t="str">
        <f>IF(LEN($B17)&gt;0,RIGHT($B17,LEN($B17)-FIND("!",$B17)),"")</f>
        <v/>
      </c>
      <c r="F17" s="13" t="str">
        <f ca="1">IF(LEN($A17)&gt;0,ROWS(INDIRECT($A17)),"")</f>
        <v/>
      </c>
      <c r="G17" s="13" t="str">
        <f ca="1">IF(LEN($A17)&gt;0,COLUMNS(INDIRECT($A17)),"")</f>
        <v/>
      </c>
      <c r="H17" s="13" t="str">
        <f>IF(LEN($A17)&gt;0,F17*G17,"")</f>
        <v/>
      </c>
    </row>
    <row r="18" spans="1:8" x14ac:dyDescent="0.25">
      <c r="A18" s="14"/>
      <c r="B18" s="14"/>
      <c r="C18" s="14" t="str">
        <f ca="1">IF(LEN($A18)&gt;0,CELL("contents",OFFSET(INDIRECT($A18),0,0)),"")</f>
        <v/>
      </c>
      <c r="D18" s="14" t="str">
        <f>IF(LEN($B18)&gt;0,SUBSTITUTE(MID($B18,2,FIND("!",$B18)-2),"'",""),"")</f>
        <v/>
      </c>
      <c r="E18" s="14" t="str">
        <f>IF(LEN($B18)&gt;0,RIGHT($B18,LEN($B18)-FIND("!",$B18)),"")</f>
        <v/>
      </c>
      <c r="F18" s="13" t="str">
        <f ca="1">IF(LEN($A18)&gt;0,ROWS(INDIRECT($A18)),"")</f>
        <v/>
      </c>
      <c r="G18" s="13" t="str">
        <f ca="1">IF(LEN($A18)&gt;0,COLUMNS(INDIRECT($A18)),"")</f>
        <v/>
      </c>
      <c r="H18" s="13" t="str">
        <f>IF(LEN($A18)&gt;0,F18*G18,"")</f>
        <v/>
      </c>
    </row>
    <row r="19" spans="1:8" x14ac:dyDescent="0.25">
      <c r="A19" s="14"/>
      <c r="B19" s="14"/>
      <c r="C19" s="14" t="str">
        <f ca="1">IF(LEN($A19)&gt;0,CELL("contents",OFFSET(INDIRECT($A19),0,0)),"")</f>
        <v/>
      </c>
      <c r="D19" s="14" t="str">
        <f>IF(LEN($B19)&gt;0,SUBSTITUTE(MID($B19,2,FIND("!",$B19)-2),"'",""),"")</f>
        <v/>
      </c>
      <c r="E19" s="14" t="str">
        <f>IF(LEN($B19)&gt;0,RIGHT($B19,LEN($B19)-FIND("!",$B19)),"")</f>
        <v/>
      </c>
      <c r="F19" s="13" t="str">
        <f ca="1">IF(LEN($A19)&gt;0,ROWS(INDIRECT($A19)),"")</f>
        <v/>
      </c>
      <c r="G19" s="13" t="str">
        <f ca="1">IF(LEN($A19)&gt;0,COLUMNS(INDIRECT($A19)),"")</f>
        <v/>
      </c>
      <c r="H19" s="13" t="str">
        <f>IF(LEN($A19)&gt;0,F19*G19,"")</f>
        <v/>
      </c>
    </row>
    <row r="20" spans="1:8" x14ac:dyDescent="0.25">
      <c r="A20" s="14"/>
      <c r="B20" s="14"/>
      <c r="C20" s="14" t="str">
        <f ca="1">IF(LEN($A20)&gt;0,CELL("contents",OFFSET(INDIRECT($A20),0,0)),"")</f>
        <v/>
      </c>
      <c r="D20" s="14" t="str">
        <f>IF(LEN($B20)&gt;0,SUBSTITUTE(MID($B20,2,FIND("!",$B20)-2),"'",""),"")</f>
        <v/>
      </c>
      <c r="E20" s="14" t="str">
        <f>IF(LEN($B20)&gt;0,RIGHT($B20,LEN($B20)-FIND("!",$B20)),"")</f>
        <v/>
      </c>
      <c r="F20" s="13" t="str">
        <f ca="1">IF(LEN($A20)&gt;0,ROWS(INDIRECT($A20)),"")</f>
        <v/>
      </c>
      <c r="G20" s="13" t="str">
        <f ca="1">IF(LEN($A20)&gt;0,COLUMNS(INDIRECT($A20)),"")</f>
        <v/>
      </c>
      <c r="H20" s="13" t="str">
        <f>IF(LEN($A20)&gt;0,F20*G20,"")</f>
        <v/>
      </c>
    </row>
    <row r="21" spans="1:8" x14ac:dyDescent="0.25">
      <c r="A21" s="14"/>
      <c r="B21" s="14"/>
      <c r="C21" s="14" t="str">
        <f ca="1">IF(LEN($A21)&gt;0,CELL("contents",OFFSET(INDIRECT($A21),0,0)),"")</f>
        <v/>
      </c>
      <c r="D21" s="14" t="str">
        <f>IF(LEN($B21)&gt;0,SUBSTITUTE(MID($B21,2,FIND("!",$B21)-2),"'",""),"")</f>
        <v/>
      </c>
      <c r="E21" s="14" t="str">
        <f>IF(LEN($B21)&gt;0,RIGHT($B21,LEN($B21)-FIND("!",$B21)),"")</f>
        <v/>
      </c>
      <c r="F21" s="13" t="str">
        <f ca="1">IF(LEN($A21)&gt;0,ROWS(INDIRECT($A21)),"")</f>
        <v/>
      </c>
      <c r="G21" s="13" t="str">
        <f ca="1">IF(LEN($A21)&gt;0,COLUMNS(INDIRECT($A21)),"")</f>
        <v/>
      </c>
      <c r="H21" s="13" t="str">
        <f>IF(LEN($A21)&gt;0,F21*G21,"")</f>
        <v/>
      </c>
    </row>
    <row r="22" spans="1:8" x14ac:dyDescent="0.25">
      <c r="A22" s="14"/>
      <c r="B22" s="14"/>
      <c r="C22" s="14" t="str">
        <f ca="1">IF(LEN($A22)&gt;0,CELL("contents",OFFSET(INDIRECT($A22),0,0)),"")</f>
        <v/>
      </c>
      <c r="D22" s="14" t="str">
        <f>IF(LEN($B22)&gt;0,SUBSTITUTE(MID($B22,2,FIND("!",$B22)-2),"'",""),"")</f>
        <v/>
      </c>
      <c r="E22" s="14" t="str">
        <f>IF(LEN($B22)&gt;0,RIGHT($B22,LEN($B22)-FIND("!",$B22)),"")</f>
        <v/>
      </c>
      <c r="F22" s="13" t="str">
        <f ca="1">IF(LEN($A22)&gt;0,ROWS(INDIRECT($A22)),"")</f>
        <v/>
      </c>
      <c r="G22" s="13" t="str">
        <f ca="1">IF(LEN($A22)&gt;0,COLUMNS(INDIRECT($A22)),"")</f>
        <v/>
      </c>
      <c r="H22" s="13" t="str">
        <f>IF(LEN($A22)&gt;0,F22*G22,"")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O12"/>
  <sheetViews>
    <sheetView workbookViewId="0">
      <selection activeCell="A11" sqref="A11"/>
    </sheetView>
  </sheetViews>
  <sheetFormatPr defaultRowHeight="15" x14ac:dyDescent="0.25"/>
  <cols>
    <col min="1" max="1" width="6.5" customWidth="1"/>
    <col min="2" max="2" width="98.75" bestFit="1" customWidth="1"/>
    <col min="3" max="3" width="39.75" bestFit="1" customWidth="1"/>
    <col min="4" max="4" width="28.125" bestFit="1" customWidth="1"/>
    <col min="5" max="5" width="8.75" customWidth="1"/>
    <col min="6" max="6" width="13" bestFit="1" customWidth="1"/>
    <col min="7" max="7" width="12.625" bestFit="1" customWidth="1"/>
    <col min="8" max="8" width="8.75" customWidth="1"/>
  </cols>
  <sheetData>
    <row r="1" spans="1:15" ht="18" x14ac:dyDescent="0.25">
      <c r="A1" s="22" t="s">
        <v>0</v>
      </c>
      <c r="B1" s="23"/>
      <c r="C1" s="1"/>
      <c r="D1" s="1"/>
    </row>
    <row r="2" spans="1:15" ht="18" x14ac:dyDescent="0.25">
      <c r="A2" s="24" t="s">
        <v>1</v>
      </c>
      <c r="B2" s="25"/>
      <c r="D2" s="2" t="s">
        <v>12</v>
      </c>
      <c r="E2" s="6" t="s">
        <v>10</v>
      </c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8" x14ac:dyDescent="0.25">
      <c r="A3" s="26" t="s">
        <v>2</v>
      </c>
      <c r="B3" s="27"/>
      <c r="D3" s="2" t="s">
        <v>11</v>
      </c>
      <c r="E3" s="6" t="s">
        <v>13</v>
      </c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28" t="s">
        <v>3</v>
      </c>
      <c r="B4" s="29"/>
    </row>
    <row r="6" spans="1:15" ht="18" x14ac:dyDescent="0.25">
      <c r="A6" s="2" t="s">
        <v>4</v>
      </c>
      <c r="B6" s="2" t="s">
        <v>6</v>
      </c>
      <c r="C6" s="2" t="s">
        <v>7</v>
      </c>
      <c r="D6" s="2" t="s">
        <v>8</v>
      </c>
      <c r="E6" s="2" t="s">
        <v>9</v>
      </c>
    </row>
    <row r="7" spans="1:15" ht="85.5" x14ac:dyDescent="0.25">
      <c r="A7" s="3">
        <f>IF(ISNUMBER(A6),A6+1,1)</f>
        <v>1</v>
      </c>
      <c r="B7" s="3" t="s">
        <v>14</v>
      </c>
      <c r="C7" s="19" t="s">
        <v>15</v>
      </c>
      <c r="D7" s="4" t="s">
        <v>167</v>
      </c>
      <c r="E7" s="3" t="s">
        <v>3</v>
      </c>
    </row>
    <row r="8" spans="1:15" ht="28.5" x14ac:dyDescent="0.25">
      <c r="A8" s="3">
        <f t="shared" ref="A8:A12" si="0">IF(ISNUMBER(A7),A7+1,1)</f>
        <v>2</v>
      </c>
      <c r="B8" s="3" t="s">
        <v>16</v>
      </c>
      <c r="C8" s="20"/>
      <c r="D8" s="4" t="s">
        <v>168</v>
      </c>
      <c r="E8" s="3" t="s">
        <v>3</v>
      </c>
    </row>
    <row r="9" spans="1:15" ht="28.5" x14ac:dyDescent="0.25">
      <c r="A9" s="3">
        <f t="shared" si="0"/>
        <v>3</v>
      </c>
      <c r="B9" s="3" t="s">
        <v>17</v>
      </c>
      <c r="C9" s="20"/>
      <c r="D9" s="4" t="s">
        <v>166</v>
      </c>
      <c r="E9" s="3" t="s">
        <v>3</v>
      </c>
    </row>
    <row r="10" spans="1:15" ht="28.5" x14ac:dyDescent="0.25">
      <c r="A10" s="3">
        <f t="shared" si="0"/>
        <v>4</v>
      </c>
      <c r="B10" s="3" t="s">
        <v>164</v>
      </c>
      <c r="C10" s="20"/>
      <c r="D10" s="4" t="s">
        <v>169</v>
      </c>
      <c r="E10" s="3" t="s">
        <v>3</v>
      </c>
    </row>
    <row r="11" spans="1:15" x14ac:dyDescent="0.25">
      <c r="A11" s="3">
        <f t="shared" si="0"/>
        <v>5</v>
      </c>
      <c r="B11" s="3" t="s">
        <v>165</v>
      </c>
      <c r="C11" s="21"/>
      <c r="D11" s="4"/>
      <c r="E11" s="3"/>
    </row>
    <row r="12" spans="1:15" x14ac:dyDescent="0.25">
      <c r="A12" s="3">
        <f t="shared" si="0"/>
        <v>6</v>
      </c>
      <c r="B12" s="3"/>
      <c r="C12" s="5"/>
      <c r="D12" s="4"/>
      <c r="E12" s="3"/>
    </row>
  </sheetData>
  <mergeCells count="7">
    <mergeCell ref="C7:C11"/>
    <mergeCell ref="A1:B1"/>
    <mergeCell ref="A2:B2"/>
    <mergeCell ref="A3:B3"/>
    <mergeCell ref="A4:B4"/>
    <mergeCell ref="E2:O2"/>
    <mergeCell ref="E3:O3"/>
  </mergeCells>
  <conditionalFormatting sqref="A7:B7 B8 D7:E8">
    <cfRule type="expression" dxfId="19" priority="22">
      <formula>$E7="Done"</formula>
    </cfRule>
    <cfRule type="expression" dxfId="18" priority="23">
      <formula>$E7="Ready to Test"</formula>
    </cfRule>
    <cfRule type="expression" dxfId="17" priority="24">
      <formula>$E7="In Progress"</formula>
    </cfRule>
  </conditionalFormatting>
  <conditionalFormatting sqref="B9 D9:E9">
    <cfRule type="expression" dxfId="16" priority="13">
      <formula>$E9="Done"</formula>
    </cfRule>
    <cfRule type="expression" dxfId="15" priority="14">
      <formula>$E9="Ready to Test"</formula>
    </cfRule>
    <cfRule type="expression" dxfId="14" priority="15">
      <formula>$E9="In Progress"</formula>
    </cfRule>
  </conditionalFormatting>
  <conditionalFormatting sqref="B10 D10:E10">
    <cfRule type="expression" dxfId="13" priority="10">
      <formula>$E10="Done"</formula>
    </cfRule>
    <cfRule type="expression" dxfId="12" priority="11">
      <formula>$E10="Ready to Test"</formula>
    </cfRule>
    <cfRule type="expression" dxfId="11" priority="12">
      <formula>$E10="In Progress"</formula>
    </cfRule>
  </conditionalFormatting>
  <conditionalFormatting sqref="B11 D11:E11">
    <cfRule type="expression" dxfId="10" priority="7">
      <formula>$E11="Done"</formula>
    </cfRule>
    <cfRule type="expression" dxfId="9" priority="8">
      <formula>$E11="Ready to Test"</formula>
    </cfRule>
    <cfRule type="expression" dxfId="8" priority="9">
      <formula>$E11="In Progress"</formula>
    </cfRule>
  </conditionalFormatting>
  <conditionalFormatting sqref="B12:E12">
    <cfRule type="expression" dxfId="7" priority="4">
      <formula>$E12="Done"</formula>
    </cfRule>
    <cfRule type="expression" dxfId="6" priority="5">
      <formula>$E12="Ready to Test"</formula>
    </cfRule>
    <cfRule type="expression" dxfId="5" priority="6">
      <formula>$E12="In Progress"</formula>
    </cfRule>
  </conditionalFormatting>
  <conditionalFormatting sqref="A8:A12">
    <cfRule type="expression" dxfId="4" priority="1">
      <formula>$E8="Done"</formula>
    </cfRule>
    <cfRule type="expression" dxfId="3" priority="2">
      <formula>$E8="Ready to Test"</formula>
    </cfRule>
    <cfRule type="expression" dxfId="2" priority="3">
      <formula>$E8="In Progress"</formula>
    </cfRule>
  </conditionalFormatting>
  <dataValidations count="1">
    <dataValidation type="list" allowBlank="1" showInputMessage="1" showErrorMessage="1" sqref="E7:E12">
      <formula1>Status_Choices</formula1>
    </dataValidation>
  </dataValidations>
  <hyperlinks>
    <hyperlink ref="C7" r:id="rId1"/>
  </hyperlinks>
  <pageMargins left="0.7" right="0.7" top="0.75" bottom="0.75" header="0.3" footer="0.3"/>
  <pageSetup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workbookViewId="0"/>
  </sheetViews>
  <sheetFormatPr defaultRowHeight="15" x14ac:dyDescent="0.25"/>
  <cols>
    <col min="1" max="1" width="167.625" customWidth="1"/>
    <col min="2" max="2" width="141.375" bestFit="1" customWidth="1"/>
    <col min="3" max="3" width="6" customWidth="1"/>
    <col min="4" max="4" width="20.125" bestFit="1" customWidth="1"/>
  </cols>
  <sheetData>
    <row r="1" spans="1:4" ht="18" x14ac:dyDescent="0.25">
      <c r="A1" s="8" t="s">
        <v>145</v>
      </c>
      <c r="B1" s="8" t="s">
        <v>146</v>
      </c>
      <c r="C1" s="9" t="s">
        <v>144</v>
      </c>
      <c r="D1" s="8" t="s">
        <v>142</v>
      </c>
    </row>
    <row r="2" spans="1:4" x14ac:dyDescent="0.25">
      <c r="A2" s="12" t="s">
        <v>140</v>
      </c>
      <c r="B2" s="12" t="str">
        <f>[1]!GetFolder(A2)</f>
        <v>C:\bin</v>
      </c>
      <c r="C2" s="10">
        <v>8468</v>
      </c>
      <c r="D2" s="11">
        <v>42526.847777777781</v>
      </c>
    </row>
    <row r="3" spans="1:4" x14ac:dyDescent="0.25">
      <c r="A3" s="12" t="s">
        <v>128</v>
      </c>
      <c r="B3" s="12" t="str">
        <f>[1]!GetFolder(A3)</f>
        <v>C:\Users\DAVE\Documents\Programming\Visual_Studio_6\DLL\ProcessInfo\CDeclToStdCallMigrationTool\CDeclToStdCallMigrationTool\bin\Debug</v>
      </c>
      <c r="C3" s="10">
        <v>8468</v>
      </c>
      <c r="D3" s="11">
        <v>42526.847777777781</v>
      </c>
    </row>
    <row r="4" spans="1:4" x14ac:dyDescent="0.25">
      <c r="A4" s="12" t="s">
        <v>33</v>
      </c>
      <c r="B4" s="12" t="str">
        <f>[1]!GetFolder(A4)</f>
        <v>C:\Users\DAVE\Documents\Visual Studio 2013\Projects\_Laboratory\ConsoleOutputSpeedTest\ConsoleOutputSpeedTest\bin\Debug</v>
      </c>
      <c r="C4" s="10">
        <v>8468</v>
      </c>
      <c r="D4" s="11">
        <v>42526.847777777781</v>
      </c>
    </row>
    <row r="5" spans="1:4" x14ac:dyDescent="0.25">
      <c r="A5" s="12" t="s">
        <v>32</v>
      </c>
      <c r="B5" s="12" t="str">
        <f>[1]!GetFolder(A5)</f>
        <v>C:\Users\DAVE\Documents\Visual Studio 2013\Projects\_Laboratory\CSharp_Lab\bin\Debug</v>
      </c>
      <c r="C5" s="10">
        <v>8468</v>
      </c>
      <c r="D5" s="11">
        <v>42526.847777777781</v>
      </c>
    </row>
    <row r="6" spans="1:4" x14ac:dyDescent="0.25">
      <c r="A6" s="12" t="s">
        <v>31</v>
      </c>
      <c r="B6" s="12" t="str">
        <f>[1]!GetFolder(A6)</f>
        <v>C:\Users\DAVE\Documents\Visual Studio 2013\Projects\_Laboratory\CSharp_Lab\bin\x86\Debug</v>
      </c>
      <c r="C6" s="10">
        <v>8468</v>
      </c>
      <c r="D6" s="11">
        <v>42526.847777777781</v>
      </c>
    </row>
    <row r="7" spans="1:4" x14ac:dyDescent="0.25">
      <c r="A7" s="12" t="s">
        <v>30</v>
      </c>
      <c r="B7" s="12" t="str">
        <f>[1]!GetFolder(A7)</f>
        <v>C:\Users\DAVE\Documents\Visual Studio 2013\Projects\_Laboratory\CSharp_Lab\CSharp_Lab\bin\Debug</v>
      </c>
      <c r="C7" s="10">
        <v>8468</v>
      </c>
      <c r="D7" s="11">
        <v>42526.847777777781</v>
      </c>
    </row>
    <row r="8" spans="1:4" x14ac:dyDescent="0.25">
      <c r="A8" s="12" t="s">
        <v>29</v>
      </c>
      <c r="B8" s="12" t="str">
        <f>[1]!GetFolder(A8)</f>
        <v>C:\Users\DAVE\Documents\Visual Studio 2013\Projects\_Laboratory\CSharp_Lab\CSharp_Lab\bin\x86\Debug</v>
      </c>
      <c r="C8" s="10">
        <v>8468</v>
      </c>
      <c r="D8" s="11">
        <v>42526.847777777781</v>
      </c>
    </row>
    <row r="9" spans="1:4" x14ac:dyDescent="0.25">
      <c r="A9" s="12" t="s">
        <v>28</v>
      </c>
      <c r="B9" s="12" t="str">
        <f>[1]!GetFolder(A9)</f>
        <v>C:\Users\DAVE\Documents\Visual Studio 2013\Projects\_Laboratory\TimeZoneLab\TimeZoneLab</v>
      </c>
      <c r="C9" s="10">
        <v>8468</v>
      </c>
      <c r="D9" s="11">
        <v>42526.847777777781</v>
      </c>
    </row>
    <row r="10" spans="1:4" x14ac:dyDescent="0.25">
      <c r="A10" s="12" t="s">
        <v>27</v>
      </c>
      <c r="B10" s="12" t="str">
        <f>[1]!GetFolder(A10)</f>
        <v>C:\Users\DAVE\Documents\Visual Studio 2013\Projects\_Laboratory\TimeZoneLab\TimeZoneLab\bin\Debug</v>
      </c>
      <c r="C10" s="10">
        <v>8468</v>
      </c>
      <c r="D10" s="11">
        <v>42526.847777777781</v>
      </c>
    </row>
    <row r="11" spans="1:4" x14ac:dyDescent="0.25">
      <c r="A11" s="12" t="s">
        <v>26</v>
      </c>
      <c r="B11" s="12" t="str">
        <f>[1]!GetFolder(A11)</f>
        <v>C:\Users\DAVE\Documents\Visual Studio 2013\Projects\_Laboratory\TimeZoneLab\TimeZoneLab\bin\Release</v>
      </c>
      <c r="C11" s="10">
        <v>8468</v>
      </c>
      <c r="D11" s="11">
        <v>42526.847777777781</v>
      </c>
    </row>
    <row r="12" spans="1:4" x14ac:dyDescent="0.25">
      <c r="A12" s="12" t="s">
        <v>127</v>
      </c>
      <c r="B12" s="12" t="str">
        <f>[1]!GetFolder(A12)</f>
        <v>C:\Users\DAVE\Documents\Visual Studio 2013\Projects\Console_Apps\CSV2JSONRT\CSV2JSONRT\bin\x86\Debug</v>
      </c>
      <c r="C12" s="10">
        <v>8468</v>
      </c>
      <c r="D12" s="11">
        <v>42526.847777777781</v>
      </c>
    </row>
    <row r="13" spans="1:4" x14ac:dyDescent="0.25">
      <c r="A13" s="12" t="s">
        <v>126</v>
      </c>
      <c r="B13" s="12" t="str">
        <f>[1]!GetFolder(A13)</f>
        <v>C:\Users\DAVE\Documents\Visual Studio 2013\Projects\Console_Apps\CSV2JSONRT\CSV2JSONRT\bin\x86\Release</v>
      </c>
      <c r="C13" s="10">
        <v>8468</v>
      </c>
      <c r="D13" s="11">
        <v>42526.847777777781</v>
      </c>
    </row>
    <row r="14" spans="1:4" x14ac:dyDescent="0.25">
      <c r="A14" s="12" t="s">
        <v>125</v>
      </c>
      <c r="B14" s="12" t="str">
        <f>[1]!GetFolder(A14)</f>
        <v>C:\Users\DAVE\Documents\Visual Studio 2013\Projects\Console_Apps\Date2FN\Date2FN\bin\Debug</v>
      </c>
      <c r="C14" s="10">
        <v>8468</v>
      </c>
      <c r="D14" s="11">
        <v>42526.847777777781</v>
      </c>
    </row>
    <row r="15" spans="1:4" x14ac:dyDescent="0.25">
      <c r="A15" s="12" t="s">
        <v>124</v>
      </c>
      <c r="B15" s="12" t="str">
        <f>[1]!GetFolder(A15)</f>
        <v>C:\Users\DAVE\Documents\Visual Studio 2013\Projects\Console_Apps\FixEventLogExport\FixEventLogExport</v>
      </c>
      <c r="C15" s="10">
        <v>8468</v>
      </c>
      <c r="D15" s="11">
        <v>42526.847777777781</v>
      </c>
    </row>
    <row r="16" spans="1:4" x14ac:dyDescent="0.25">
      <c r="A16" s="12" t="s">
        <v>123</v>
      </c>
      <c r="B16" s="12" t="str">
        <f>[1]!GetFolder(A16)</f>
        <v>C:\Users\DAVE\Documents\Visual Studio 2013\Projects\Console_Apps\FixEventLogExport\FixEventLogExport\bin\Debug</v>
      </c>
      <c r="C16" s="10">
        <v>8468</v>
      </c>
      <c r="D16" s="11">
        <v>42526.847777777781</v>
      </c>
    </row>
    <row r="17" spans="1:4" x14ac:dyDescent="0.25">
      <c r="A17" s="12" t="s">
        <v>122</v>
      </c>
      <c r="B17" s="12" t="str">
        <f>[1]!GetFolder(A17)</f>
        <v>C:\Users\DAVE\Documents\Visual Studio 2013\Projects\Console_Apps\FixEventLogExport\FixEventLogExport\bin\x86\Debug</v>
      </c>
      <c r="C17" s="10">
        <v>8468</v>
      </c>
      <c r="D17" s="11">
        <v>42526.847777777781</v>
      </c>
    </row>
    <row r="18" spans="1:4" x14ac:dyDescent="0.25">
      <c r="A18" s="12" t="s">
        <v>121</v>
      </c>
      <c r="B18" s="12" t="str">
        <f>[1]!GetFolder(A18)</f>
        <v>C:\Users\DAVE\Documents\Visual Studio 2013\Projects\Console_Apps\FixEventLogExport\FixEventLogExport\bin\x86\Release</v>
      </c>
      <c r="C18" s="10">
        <v>8468</v>
      </c>
      <c r="D18" s="11">
        <v>42526.847777777781</v>
      </c>
    </row>
    <row r="19" spans="1:4" x14ac:dyDescent="0.25">
      <c r="A19" s="12" t="s">
        <v>120</v>
      </c>
      <c r="B19" s="12" t="str">
        <f>[1]!GetFolder(A19)</f>
        <v>C:\Users\DAVE\Documents\Visual Studio 2013\Projects\Console_Apps\FixEventLogExport\FixEventLogExport_Distribution_Package</v>
      </c>
      <c r="C19" s="10">
        <v>8468</v>
      </c>
      <c r="D19" s="11">
        <v>42526.847777777781</v>
      </c>
    </row>
    <row r="20" spans="1:4" x14ac:dyDescent="0.25">
      <c r="A20" s="12" t="s">
        <v>119</v>
      </c>
      <c r="B20" s="12" t="str">
        <f>[1]!GetFolder(A20)</f>
        <v>C:\Users\DAVE\Documents\Visual Studio 2013\Projects\Console_Apps\MassUpdateColorIndex\MassUpdateColorIndex\bin\Debug</v>
      </c>
      <c r="C20" s="10">
        <v>8468</v>
      </c>
      <c r="D20" s="11">
        <v>42526.847777777781</v>
      </c>
    </row>
    <row r="21" spans="1:4" x14ac:dyDescent="0.25">
      <c r="A21" s="12" t="s">
        <v>118</v>
      </c>
      <c r="B21" s="12" t="str">
        <f>[1]!GetFolder(A21)</f>
        <v>C:\Users\DAVE\Documents\Visual Studio 2013\Projects\Console_Apps\MassUpdateColorIndex\MassUpdateColorIndex\bin\Release</v>
      </c>
      <c r="C21" s="10">
        <v>8468</v>
      </c>
      <c r="D21" s="11">
        <v>42526.847777777781</v>
      </c>
    </row>
    <row r="22" spans="1:4" x14ac:dyDescent="0.25">
      <c r="A22" s="12" t="s">
        <v>117</v>
      </c>
      <c r="B22" s="12" t="str">
        <f>[1]!GetFolder(A22)</f>
        <v>C:\Users\DAVE\Documents\Visual Studio 2013\Projects\Console_Apps\MultiCat\MultiCat\bin\Debug</v>
      </c>
      <c r="C22" s="10">
        <v>8468</v>
      </c>
      <c r="D22" s="11">
        <v>42526.847777777781</v>
      </c>
    </row>
    <row r="23" spans="1:4" x14ac:dyDescent="0.25">
      <c r="A23" s="12" t="s">
        <v>116</v>
      </c>
      <c r="B23" s="12" t="str">
        <f>[1]!GetFolder(A23)</f>
        <v>C:\Users\DAVE\Documents\Visual Studio 2013\Projects\Console_Apps\NFiles\NFiles\bin\Debug</v>
      </c>
      <c r="C23" s="10">
        <v>8468</v>
      </c>
      <c r="D23" s="11">
        <v>42526.847777777781</v>
      </c>
    </row>
    <row r="24" spans="1:4" x14ac:dyDescent="0.25">
      <c r="A24" s="12" t="s">
        <v>115</v>
      </c>
      <c r="B24" s="12" t="str">
        <f>[1]!GetFolder(A24)</f>
        <v>C:\Users\DAVE\Documents\Visual Studio 2013\Projects\Console_Apps\WWEnumEnvironmentStrings\WWEnumEnvironmentStrings</v>
      </c>
      <c r="C24" s="10">
        <v>8468</v>
      </c>
      <c r="D24" s="11">
        <v>42526.847777777781</v>
      </c>
    </row>
    <row r="25" spans="1:4" x14ac:dyDescent="0.25">
      <c r="A25" s="12" t="s">
        <v>114</v>
      </c>
      <c r="B25" s="12" t="str">
        <f>[1]!GetFolder(A25)</f>
        <v>C:\Users\DAVE\Documents\Visual Studio 2013\Projects\Console_Apps\WWEnumEnvironmentStrings\WWEnumEnvironmentStrings\bin\Debug</v>
      </c>
      <c r="C25" s="10">
        <v>8468</v>
      </c>
      <c r="D25" s="11">
        <v>42526.847777777781</v>
      </c>
    </row>
    <row r="26" spans="1:4" x14ac:dyDescent="0.25">
      <c r="A26" s="12" t="s">
        <v>113</v>
      </c>
      <c r="B26" s="12" t="str">
        <f>[1]!GetFolder(A26)</f>
        <v>C:\Users\DAVE\Documents\Visual Studio 2013\Projects\Console_Apps\WWEnumEnvironmentStrings\WWEnumEnvironmentStrings\bin\Release</v>
      </c>
      <c r="C26" s="10">
        <v>8468</v>
      </c>
      <c r="D26" s="11">
        <v>42526.847777777781</v>
      </c>
    </row>
    <row r="27" spans="1:4" x14ac:dyDescent="0.25">
      <c r="A27" s="12" t="s">
        <v>112</v>
      </c>
      <c r="B27" s="12" t="str">
        <f>[1]!GetFolder(A27)</f>
        <v>C:\Users\DAVE\Documents\Visual Studio 2013\Projects\Console_Apps\WWEnumEnvironmentStrings\WWEnumEnvironmentStrings\bin\x86\Release</v>
      </c>
      <c r="C27" s="10">
        <v>8468</v>
      </c>
      <c r="D27" s="11">
        <v>42526.847777777781</v>
      </c>
    </row>
    <row r="28" spans="1:4" x14ac:dyDescent="0.25">
      <c r="A28" s="12" t="s">
        <v>111</v>
      </c>
      <c r="B28" s="12" t="str">
        <f>[1]!GetFolder(A28)</f>
        <v>C:\Users\DAVE\Documents\Visual Studio 2013\Projects\DatabaseApps\GeneralPurposeLogger\ConsoleApplication1\ConsoleApplication1</v>
      </c>
      <c r="C28" s="10">
        <v>8468</v>
      </c>
      <c r="D28" s="11">
        <v>42526.847777777781</v>
      </c>
    </row>
    <row r="29" spans="1:4" x14ac:dyDescent="0.25">
      <c r="A29" s="12" t="s">
        <v>110</v>
      </c>
      <c r="B29" s="12" t="str">
        <f>[1]!GetFolder(A29)</f>
        <v>C:\Users\DAVE\Documents\Visual Studio 2013\Projects\DatabaseApps\GeneralPurposeLogger\ConsoleApplication1\ConsoleApplication1\bin\Debug</v>
      </c>
      <c r="C29" s="10">
        <v>8468</v>
      </c>
      <c r="D29" s="11">
        <v>42526.847777777781</v>
      </c>
    </row>
    <row r="30" spans="1:4" x14ac:dyDescent="0.25">
      <c r="A30" s="12" t="s">
        <v>109</v>
      </c>
      <c r="B30" s="12" t="str">
        <f>[1]!GetFolder(A30)</f>
        <v>C:\Users\DAVE\Documents\Visual Studio 2013\Projects\NOLANB\DataEaseDirectoryReader\DataEase\bin\Debug</v>
      </c>
      <c r="C30" s="10">
        <v>8468</v>
      </c>
      <c r="D30" s="11">
        <v>42526.847777777781</v>
      </c>
    </row>
    <row r="31" spans="1:4" x14ac:dyDescent="0.25">
      <c r="A31" s="12" t="s">
        <v>108</v>
      </c>
      <c r="B31" s="12" t="str">
        <f>[1]!GetFolder(A31)</f>
        <v>C:\Users\DAVE\Documents\Visual Studio 2013\Projects\NOLANB\DataEaseDirectoryReader\DataEase\bin\Release</v>
      </c>
      <c r="C31" s="10">
        <v>8468</v>
      </c>
      <c r="D31" s="11">
        <v>42526.847777777781</v>
      </c>
    </row>
    <row r="32" spans="1:4" x14ac:dyDescent="0.25">
      <c r="A32" s="12" t="s">
        <v>107</v>
      </c>
      <c r="B32" s="12" t="str">
        <f>[1]!GetFolder(A32)</f>
        <v>C:\Users\DAVE\Documents\Visual Studio 2013\Projects\NOLANB\DataEaseDirectoryReader\DataEaseDirectoryReader</v>
      </c>
      <c r="C32" s="10">
        <v>8468</v>
      </c>
      <c r="D32" s="11">
        <v>42526.847777777781</v>
      </c>
    </row>
    <row r="33" spans="1:4" x14ac:dyDescent="0.25">
      <c r="A33" s="12" t="s">
        <v>106</v>
      </c>
      <c r="B33" s="12" t="str">
        <f>[1]!GetFolder(A33)</f>
        <v>C:\Users\DAVE\Documents\Visual Studio 2013\Projects\NOLANB\DataEaseDirectoryReader\DataEaseDirectoryReader\bin\Debug</v>
      </c>
      <c r="C33" s="10">
        <v>8468</v>
      </c>
      <c r="D33" s="11">
        <v>42526.847777777781</v>
      </c>
    </row>
    <row r="34" spans="1:4" x14ac:dyDescent="0.25">
      <c r="A34" s="12" t="s">
        <v>105</v>
      </c>
      <c r="B34" s="12" t="str">
        <f>[1]!GetFolder(A34)</f>
        <v>C:\Users\DAVE\Documents\Visual Studio 2013\Projects\NOLANB\DataEaseDirectoryReader\DataEaseDirectoryReader\bin\Release</v>
      </c>
      <c r="C34" s="10">
        <v>8468</v>
      </c>
      <c r="D34" s="11">
        <v>42526.847777777781</v>
      </c>
    </row>
    <row r="35" spans="1:4" x14ac:dyDescent="0.25">
      <c r="A35" s="12" t="s">
        <v>104</v>
      </c>
      <c r="B35" s="12" t="str">
        <f>[1]!GetFolder(A35)</f>
        <v>C:\Users\DAVE\Documents\Visual Studio 2013\Projects\NOLANB\DataEaseDirectoryReader\SupportMethodTester</v>
      </c>
      <c r="C35" s="10">
        <v>8468</v>
      </c>
      <c r="D35" s="11">
        <v>42526.847777777781</v>
      </c>
    </row>
    <row r="36" spans="1:4" x14ac:dyDescent="0.25">
      <c r="A36" s="12" t="s">
        <v>103</v>
      </c>
      <c r="B36" s="12" t="str">
        <f>[1]!GetFolder(A36)</f>
        <v>C:\Users\DAVE\Documents\Visual Studio 2013\Projects\NOLANB\DataEaseDirectoryReader\SupportMethodTester\bin\Debug</v>
      </c>
      <c r="C36" s="10">
        <v>8468</v>
      </c>
      <c r="D36" s="11">
        <v>42526.847777777781</v>
      </c>
    </row>
    <row r="37" spans="1:4" x14ac:dyDescent="0.25">
      <c r="A37" s="12" t="s">
        <v>102</v>
      </c>
      <c r="B37" s="12" t="str">
        <f>[1]!GetFolder(A37)</f>
        <v>C:\Users\DAVE\Documents\Visual Studio 2013\Projects\NOLANB\DataEaseDirectoryReader\SupportMethodTester\bin\Release</v>
      </c>
      <c r="C37" s="10">
        <v>8468</v>
      </c>
      <c r="D37" s="11">
        <v>42526.847777777781</v>
      </c>
    </row>
    <row r="38" spans="1:4" x14ac:dyDescent="0.25">
      <c r="A38" s="12" t="s">
        <v>100</v>
      </c>
      <c r="B38" s="12" t="str">
        <f>[1]!GetFolder(A38)</f>
        <v>C:\Users\DAVE\Documents\Visual Studio 2013\Projects\NOLANB\EZPayFileMonitor\EZPayFileMonitor\bin\Debug</v>
      </c>
      <c r="C38" s="10">
        <v>8468</v>
      </c>
      <c r="D38" s="11">
        <v>42526.847777777781</v>
      </c>
    </row>
    <row r="39" spans="1:4" x14ac:dyDescent="0.25">
      <c r="A39" s="12" t="s">
        <v>99</v>
      </c>
      <c r="B39" s="12" t="str">
        <f>[1]!GetFolder(A39)</f>
        <v>C:\Users\DAVE\Documents\Visual Studio 2013\Projects\NOLANB\EZPayFileMonitor\EZPayFileMonitor\bin\Release</v>
      </c>
      <c r="C39" s="10">
        <v>8468</v>
      </c>
      <c r="D39" s="11">
        <v>42526.847777777781</v>
      </c>
    </row>
    <row r="40" spans="1:4" x14ac:dyDescent="0.25">
      <c r="A40" s="12" t="s">
        <v>98</v>
      </c>
      <c r="B40" s="12" t="str">
        <f>[1]!GetFolder(A40)</f>
        <v>C:\Users\DAVE\Documents\Visual Studio 2013\Projects\NOLANB\EZPayWebPmtsNotifier\EZPayWebPmtsNotifier\bin\Debug</v>
      </c>
      <c r="C40" s="10">
        <v>8468</v>
      </c>
      <c r="D40" s="11">
        <v>42526.847777777781</v>
      </c>
    </row>
    <row r="41" spans="1:4" x14ac:dyDescent="0.25">
      <c r="A41" s="12" t="s">
        <v>97</v>
      </c>
      <c r="B41" s="12" t="str">
        <f>[1]!GetFolder(A41)</f>
        <v>C:\Users\DAVE\Documents\Visual Studio 2013\Projects\NOLANB\EZPayWebPmtsNotifier\EZPayWebPmtsNotifier\bin\Release</v>
      </c>
      <c r="C41" s="10">
        <v>8468</v>
      </c>
      <c r="D41" s="11">
        <v>42526.847777777781</v>
      </c>
    </row>
    <row r="42" spans="1:4" x14ac:dyDescent="0.25">
      <c r="A42" s="12" t="s">
        <v>96</v>
      </c>
      <c r="B42" s="12" t="str">
        <f>[1]!GetFolder(A42)</f>
        <v>C:\Users\DAVE\Documents\Visual Studio 2013\Projects\NOLANB\EZXFER_Cloud_Manager\EZXFER_Cloud_Manager</v>
      </c>
      <c r="C42" s="10">
        <v>8468</v>
      </c>
      <c r="D42" s="11">
        <v>42526.847777777781</v>
      </c>
    </row>
    <row r="43" spans="1:4" x14ac:dyDescent="0.25">
      <c r="A43" s="12" t="s">
        <v>95</v>
      </c>
      <c r="B43" s="12" t="str">
        <f>[1]!GetFolder(A43)</f>
        <v>C:\Users\DAVE\Documents\Visual Studio 2013\Projects\NOLANB\EZXFER_Cloud_Manager\EZXFER_Cloud_Manager\bin\Debug</v>
      </c>
      <c r="C43" s="10">
        <v>8468</v>
      </c>
      <c r="D43" s="11">
        <v>42526.847777777781</v>
      </c>
    </row>
    <row r="44" spans="1:4" x14ac:dyDescent="0.25">
      <c r="A44" s="12" t="s">
        <v>94</v>
      </c>
      <c r="B44" s="12" t="str">
        <f>[1]!GetFolder(A44)</f>
        <v>C:\Users\DAVE\Documents\Visual Studio 2013\Projects\NOLANB\EZXFER_Cloud_Manager\EZXFER_Cloud_Manager\bin\Release</v>
      </c>
      <c r="C44" s="10">
        <v>8468</v>
      </c>
      <c r="D44" s="11">
        <v>42526.847777777781</v>
      </c>
    </row>
    <row r="45" spans="1:4" x14ac:dyDescent="0.25">
      <c r="A45" s="12" t="s">
        <v>90</v>
      </c>
      <c r="B45" s="12" t="str">
        <f>[1]!GetFolder(A45)</f>
        <v>C:\Users\DAVE\Documents\Visual Studio 2013\Projects\NOLANB\ZZRdInts\ZZRdInts</v>
      </c>
      <c r="C45" s="10">
        <v>8468</v>
      </c>
      <c r="D45" s="11">
        <v>42526.847777777781</v>
      </c>
    </row>
    <row r="46" spans="1:4" x14ac:dyDescent="0.25">
      <c r="A46" s="12" t="s">
        <v>89</v>
      </c>
      <c r="B46" s="12" t="str">
        <f>[1]!GetFolder(A46)</f>
        <v>C:\Users\DAVE\Documents\Visual Studio 2013\Projects\NOLANB\ZZRdInts\ZZRdInts\bin\Debug</v>
      </c>
      <c r="C46" s="10">
        <v>8468</v>
      </c>
      <c r="D46" s="11">
        <v>42526.847777777781</v>
      </c>
    </row>
    <row r="47" spans="1:4" x14ac:dyDescent="0.25">
      <c r="A47" s="12" t="s">
        <v>88</v>
      </c>
      <c r="B47" s="12" t="str">
        <f>[1]!GetFolder(A47)</f>
        <v>C:\Users\DAVE\Documents\Visual Studio 2013\Projects\NOLANB\ZZRdInts\ZZRdInts\bin\Release</v>
      </c>
      <c r="C47" s="10">
        <v>8468</v>
      </c>
      <c r="D47" s="11">
        <v>42526.847777777781</v>
      </c>
    </row>
    <row r="48" spans="1:4" x14ac:dyDescent="0.25">
      <c r="A48" s="12" t="s">
        <v>87</v>
      </c>
      <c r="B48" s="12" t="str">
        <f>[1]!GetFolder(A48)</f>
        <v>C:\Users\DAVE\Documents\Visual Studio 2013\Projects\Tools_for_Programmers\BitView\BitView\bin\Debug</v>
      </c>
      <c r="C48" s="10">
        <v>8468</v>
      </c>
      <c r="D48" s="11">
        <v>42526.847777777781</v>
      </c>
    </row>
    <row r="49" spans="1:4" x14ac:dyDescent="0.25">
      <c r="A49" s="12" t="s">
        <v>86</v>
      </c>
      <c r="B49" s="12" t="str">
        <f>[1]!GetFolder(A49)</f>
        <v>C:\Users\DAVE\Documents\Visual Studio 2013\Projects\Tools_for_Programmers\CertStoreLister\CertStoreLister</v>
      </c>
      <c r="C49" s="10">
        <v>8468</v>
      </c>
      <c r="D49" s="11">
        <v>42526.847777777781</v>
      </c>
    </row>
    <row r="50" spans="1:4" x14ac:dyDescent="0.25">
      <c r="A50" s="12" t="s">
        <v>85</v>
      </c>
      <c r="B50" s="12" t="str">
        <f>[1]!GetFolder(A50)</f>
        <v>C:\Users\DAVE\Documents\Visual Studio 2013\Projects\Tools_for_Programmers\CertStoreLister\CertStoreLister\bin\Debug</v>
      </c>
      <c r="C50" s="10">
        <v>8468</v>
      </c>
      <c r="D50" s="11">
        <v>42526.847777777781</v>
      </c>
    </row>
    <row r="51" spans="1:4" x14ac:dyDescent="0.25">
      <c r="A51" s="12" t="s">
        <v>84</v>
      </c>
      <c r="B51" s="12" t="str">
        <f>[1]!GetFolder(A51)</f>
        <v>C:\Users\DAVE\Documents\Visual Studio 2013\Projects\Tools_for_Programmers\MemCalc\MemCalc</v>
      </c>
      <c r="C51" s="10">
        <v>8468</v>
      </c>
      <c r="D51" s="11">
        <v>42526.847777777781</v>
      </c>
    </row>
    <row r="52" spans="1:4" x14ac:dyDescent="0.25">
      <c r="A52" s="12" t="s">
        <v>83</v>
      </c>
      <c r="B52" s="12" t="str">
        <f>[1]!GetFolder(A52)</f>
        <v>C:\Users\DAVE\Documents\Visual Studio 2013\Projects\Tools_for_Programmers\MemCalc\MemCalc\bin\Debug</v>
      </c>
      <c r="C52" s="10">
        <v>8468</v>
      </c>
      <c r="D52" s="11">
        <v>42526.847777777781</v>
      </c>
    </row>
    <row r="53" spans="1:4" x14ac:dyDescent="0.25">
      <c r="A53" s="12" t="s">
        <v>82</v>
      </c>
      <c r="B53" s="12" t="str">
        <f>[1]!GetFolder(A53)</f>
        <v>C:\Users\DAVE\Documents\Visual Studio 2013\Projects\Tools_for_Programmers\MemView\MemView\bin\Debug</v>
      </c>
      <c r="C53" s="10">
        <v>8468</v>
      </c>
      <c r="D53" s="11">
        <v>42526.847777777781</v>
      </c>
    </row>
    <row r="54" spans="1:4" x14ac:dyDescent="0.25">
      <c r="A54" s="12" t="s">
        <v>81</v>
      </c>
      <c r="B54" s="12" t="str">
        <f>[1]!GetFolder(A54)</f>
        <v>C:\Users\DAVE\Documents\Visual Studio 2013\Projects\Tools_for_Programmers\PolyCat\NOTES</v>
      </c>
      <c r="C54" s="10">
        <v>8468</v>
      </c>
      <c r="D54" s="11">
        <v>42526.847777777781</v>
      </c>
    </row>
    <row r="55" spans="1:4" x14ac:dyDescent="0.25">
      <c r="A55" s="12" t="s">
        <v>80</v>
      </c>
      <c r="B55" s="12" t="str">
        <f>[1]!GetFolder(A55)</f>
        <v>C:\Users\DAVE\Documents\Visual Studio 2013\Projects\Tools_for_Programmers\PolyCat\PolyCat</v>
      </c>
      <c r="C55" s="10">
        <v>8468</v>
      </c>
      <c r="D55" s="11">
        <v>42526.847777777781</v>
      </c>
    </row>
    <row r="56" spans="1:4" x14ac:dyDescent="0.25">
      <c r="A56" s="12" t="s">
        <v>79</v>
      </c>
      <c r="B56" s="12" t="str">
        <f>[1]!GetFolder(A56)</f>
        <v>C:\Users\DAVE\Documents\Visual Studio 2013\Projects\Tools_for_Programmers\PolyCat\PolyCat\bin\Debug</v>
      </c>
      <c r="C56" s="10">
        <v>8468</v>
      </c>
      <c r="D56" s="11">
        <v>42526.847777777781</v>
      </c>
    </row>
    <row r="57" spans="1:4" x14ac:dyDescent="0.25">
      <c r="A57" s="12" t="s">
        <v>78</v>
      </c>
      <c r="B57" s="12" t="str">
        <f>[1]!GetFolder(A57)</f>
        <v>C:\Users\DAVE\Documents\Visual Studio 2013\Projects\Tools_for_Programmers\PolyCat\PolyCat\bin\Release</v>
      </c>
      <c r="C57" s="10">
        <v>8468</v>
      </c>
      <c r="D57" s="11">
        <v>42526.847777777781</v>
      </c>
    </row>
    <row r="58" spans="1:4" x14ac:dyDescent="0.25">
      <c r="A58" s="12" t="s">
        <v>77</v>
      </c>
      <c r="B58" s="12" t="str">
        <f>[1]!GetFolder(A58)</f>
        <v>C:\Users\DAVE\Documents\Visual Studio 2013\Projects\Tools_for_Programmers\RGUNC_Tag_Browser\CreateAlternativesTable\bin\Debug</v>
      </c>
      <c r="C58" s="10">
        <v>8468</v>
      </c>
      <c r="D58" s="11">
        <v>42526.847777777781</v>
      </c>
    </row>
    <row r="59" spans="1:4" x14ac:dyDescent="0.25">
      <c r="A59" s="12" t="s">
        <v>42</v>
      </c>
      <c r="B59" s="12" t="str">
        <f>[1]!GetFolder(A59)</f>
        <v>C:\Users\DAVE\Documents\Visual Studio 2013\Projects\WizardWrx_Libs\_Deprecated_Libraries\ApplicationHelpers2</v>
      </c>
      <c r="C59" s="10">
        <v>8468</v>
      </c>
      <c r="D59" s="11">
        <v>42526.847777777781</v>
      </c>
    </row>
    <row r="60" spans="1:4" x14ac:dyDescent="0.25">
      <c r="A60" s="12" t="s">
        <v>41</v>
      </c>
      <c r="B60" s="12" t="str">
        <f>[1]!GetFolder(A60)</f>
        <v>C:\Users\DAVE\Documents\Visual Studio 2013\Projects\WizardWrx_Libs\_Deprecated_Libraries\ApplicationHelpers2\ApplicationHelpers2\bin\Debug</v>
      </c>
      <c r="C60" s="10">
        <v>8468</v>
      </c>
      <c r="D60" s="11">
        <v>42526.847777777781</v>
      </c>
    </row>
    <row r="61" spans="1:4" x14ac:dyDescent="0.25">
      <c r="A61" s="12" t="s">
        <v>40</v>
      </c>
      <c r="B61" s="12" t="str">
        <f>[1]!GetFolder(A61)</f>
        <v>C:\Users\DAVE\Documents\Visual Studio 2013\Projects\WizardWrx_Libs\_Deprecated_Libraries\ApplicationHelpers2\ApplicationHelpers2\bin\Release</v>
      </c>
      <c r="C61" s="10">
        <v>8468</v>
      </c>
      <c r="D61" s="11">
        <v>42526.847777777781</v>
      </c>
    </row>
    <row r="62" spans="1:4" x14ac:dyDescent="0.25">
      <c r="A62" s="12" t="s">
        <v>39</v>
      </c>
      <c r="B62" s="12" t="str">
        <f>[1]!GetFolder(A62)</f>
        <v>C:\Users\DAVE\Documents\Visual Studio 2013\Projects\WizardWrx_Libs\_Deprecated_Libraries\ApplicationHelpers2\ApplicationHelpers2TestHarness\ApplicationHelpers2TestHarness</v>
      </c>
      <c r="C62" s="10">
        <v>8468</v>
      </c>
      <c r="D62" s="11">
        <v>42526.847777777781</v>
      </c>
    </row>
    <row r="63" spans="1:4" x14ac:dyDescent="0.25">
      <c r="A63" s="12" t="s">
        <v>38</v>
      </c>
      <c r="B63" s="12" t="str">
        <f>[1]!GetFolder(A63)</f>
        <v>C:\Users\DAVE\Documents\Visual Studio 2013\Projects\WizardWrx_Libs\_Deprecated_Libraries\ApplicationHelpers2\ApplicationHelpers2TestHarness\ApplicationHelpers2TestHarness\bin\Debug</v>
      </c>
      <c r="C63" s="10">
        <v>8468</v>
      </c>
      <c r="D63" s="11">
        <v>42526.847777777781</v>
      </c>
    </row>
    <row r="64" spans="1:4" x14ac:dyDescent="0.25">
      <c r="A64" s="12" t="s">
        <v>37</v>
      </c>
      <c r="B64" s="12" t="str">
        <f>[1]!GetFolder(A64)</f>
        <v>C:\Users\DAVE\Documents\Visual Studio 2013\Projects\WizardWrx_Libs\_Deprecated_Libraries\ApplicationHelpers2\ApplicationHelpers2TestHarness\ApplicationHelpers2TestHarness\bin\Release</v>
      </c>
      <c r="C64" s="10">
        <v>8468</v>
      </c>
      <c r="D64" s="11">
        <v>42526.847777777781</v>
      </c>
    </row>
    <row r="65" spans="1:4" x14ac:dyDescent="0.25">
      <c r="A65" s="12" t="s">
        <v>36</v>
      </c>
      <c r="B65" s="12" t="str">
        <f>[1]!GetFolder(A65)</f>
        <v>C:\Users\DAVE\Documents\Visual Studio 2013\Projects\WizardWrx_Libs\_Deprecated_Libraries\ApplicationHelpers3\TestStand</v>
      </c>
      <c r="C65" s="10">
        <v>8468</v>
      </c>
      <c r="D65" s="11">
        <v>42526.847777777781</v>
      </c>
    </row>
    <row r="66" spans="1:4" x14ac:dyDescent="0.25">
      <c r="A66" s="12" t="s">
        <v>35</v>
      </c>
      <c r="B66" s="12" t="str">
        <f>[1]!GetFolder(A66)</f>
        <v>C:\Users\DAVE\Documents\Visual Studio 2013\Projects\WizardWrx_Libs\_Deprecated_Libraries\ApplicationHelpers3\TestStand\bin\Debug</v>
      </c>
      <c r="C66" s="10">
        <v>8468</v>
      </c>
      <c r="D66" s="11">
        <v>42526.847777777781</v>
      </c>
    </row>
    <row r="67" spans="1:4" x14ac:dyDescent="0.25">
      <c r="A67" s="12" t="s">
        <v>34</v>
      </c>
      <c r="B67" s="12" t="str">
        <f>[1]!GetFolder(A67)</f>
        <v>C:\Users\DAVE\Documents\Visual Studio 2013\Projects\WizardWrx_Libs\_Deprecated_Libraries\ApplicationHelpers3\TestStand\bin\Release</v>
      </c>
      <c r="C67" s="10">
        <v>8468</v>
      </c>
      <c r="D67" s="11">
        <v>42526.847777777781</v>
      </c>
    </row>
    <row r="68" spans="1:4" x14ac:dyDescent="0.25">
      <c r="A68" s="12" t="s">
        <v>76</v>
      </c>
      <c r="B68" s="12" t="str">
        <f>[1]!GetFolder(A68)</f>
        <v>C:\Users\DAVE\Documents\Visual Studio 2013\Projects\WizardWrx_Libs\AnyCSV\AnyCSVTestStand</v>
      </c>
      <c r="C68" s="10">
        <v>8468</v>
      </c>
      <c r="D68" s="11">
        <v>42526.847777777781</v>
      </c>
    </row>
    <row r="69" spans="1:4" x14ac:dyDescent="0.25">
      <c r="A69" s="12" t="s">
        <v>75</v>
      </c>
      <c r="B69" s="12" t="str">
        <f>[1]!GetFolder(A69)</f>
        <v>C:\Users\DAVE\Documents\Visual Studio 2013\Projects\WizardWrx_Libs\AnyCSV\AnyCSVTestStand\bin\Debug</v>
      </c>
      <c r="C69" s="10">
        <v>8468</v>
      </c>
      <c r="D69" s="11">
        <v>42526.847777777781</v>
      </c>
    </row>
    <row r="70" spans="1:4" x14ac:dyDescent="0.25">
      <c r="A70" s="12" t="s">
        <v>74</v>
      </c>
      <c r="B70" s="12" t="str">
        <f>[1]!GetFolder(A70)</f>
        <v>C:\Users\DAVE\Documents\Visual Studio 2013\Projects\WizardWrx_Libs\AnyCSV\AnyCSVTestStand\bin\Release</v>
      </c>
      <c r="C70" s="10">
        <v>8468</v>
      </c>
      <c r="D70" s="11">
        <v>42526.847777777781</v>
      </c>
    </row>
    <row r="71" spans="1:4" x14ac:dyDescent="0.25">
      <c r="A71" s="12" t="s">
        <v>73</v>
      </c>
      <c r="B71" s="12" t="str">
        <f>[1]!GetFolder(A71)</f>
        <v>C:\Users\DAVE\Documents\Visual Studio 2013\Projects\WizardWrx_Libs\ConsoleAppAids2\ConsoleAppAids2</v>
      </c>
      <c r="C71" s="10">
        <v>8468</v>
      </c>
      <c r="D71" s="11">
        <v>42526.847777777781</v>
      </c>
    </row>
    <row r="72" spans="1:4" x14ac:dyDescent="0.25">
      <c r="A72" s="12" t="s">
        <v>72</v>
      </c>
      <c r="B72" s="12" t="str">
        <f>[1]!GetFolder(A72)</f>
        <v>C:\Users\DAVE\Documents\Visual Studio 2013\Projects\WizardWrx_Libs\ConsoleAppAids2\ConsoleAppAids2\bin\Debug</v>
      </c>
      <c r="C72" s="10">
        <v>8468</v>
      </c>
      <c r="D72" s="11">
        <v>42526.847777777781</v>
      </c>
    </row>
    <row r="73" spans="1:4" x14ac:dyDescent="0.25">
      <c r="A73" s="12" t="s">
        <v>71</v>
      </c>
      <c r="B73" s="12" t="str">
        <f>[1]!GetFolder(A73)</f>
        <v>C:\Users\DAVE\Documents\Visual Studio 2013\Projects\WizardWrx_Libs\ConsoleAppAids2\ConsoleAppAids2\bin\Release</v>
      </c>
      <c r="C73" s="10">
        <v>8468</v>
      </c>
      <c r="D73" s="11">
        <v>42526.847777777781</v>
      </c>
    </row>
    <row r="74" spans="1:4" x14ac:dyDescent="0.25">
      <c r="A74" s="12" t="s">
        <v>70</v>
      </c>
      <c r="B74" s="12" t="str">
        <f>[1]!GetFolder(A74)</f>
        <v>C:\Users\DAVE\Documents\Visual Studio 2013\Projects\WizardWrx_Libs\ConsoleAppAids2\EOJTEST</v>
      </c>
      <c r="C74" s="10">
        <v>8468</v>
      </c>
      <c r="D74" s="11">
        <v>42526.847777777781</v>
      </c>
    </row>
    <row r="75" spans="1:4" x14ac:dyDescent="0.25">
      <c r="A75" s="12" t="s">
        <v>69</v>
      </c>
      <c r="B75" s="12" t="str">
        <f>[1]!GetFolder(A75)</f>
        <v>C:\Users\DAVE\Documents\Visual Studio 2013\Projects\WizardWrx_Libs\ConsoleAppAids2\EOJTEST\bin\Debug</v>
      </c>
      <c r="C75" s="10">
        <v>8468</v>
      </c>
      <c r="D75" s="11">
        <v>42526.847777777781</v>
      </c>
    </row>
    <row r="76" spans="1:4" x14ac:dyDescent="0.25">
      <c r="A76" s="12" t="s">
        <v>68</v>
      </c>
      <c r="B76" s="12" t="str">
        <f>[1]!GetFolder(A76)</f>
        <v>C:\Users\DAVE\Documents\Visual Studio 2013\Projects\WizardWrx_Libs\ConsoleAppAids2\EOJTEST\bin\Release</v>
      </c>
      <c r="C76" s="10">
        <v>8468</v>
      </c>
      <c r="D76" s="11">
        <v>42526.847777777781</v>
      </c>
    </row>
    <row r="77" spans="1:4" x14ac:dyDescent="0.25">
      <c r="A77" s="12" t="s">
        <v>67</v>
      </c>
      <c r="B77" s="12" t="str">
        <f>[1]!GetFolder(A77)</f>
        <v>C:\Users\DAVE\Documents\Visual Studio 2013\Projects\WizardWrx_Libs\ConsoleAppAids2\TestStand</v>
      </c>
      <c r="C77" s="10">
        <v>8468</v>
      </c>
      <c r="D77" s="11">
        <v>42526.847777777781</v>
      </c>
    </row>
    <row r="78" spans="1:4" x14ac:dyDescent="0.25">
      <c r="A78" s="12" t="s">
        <v>66</v>
      </c>
      <c r="B78" s="12" t="str">
        <f>[1]!GetFolder(A78)</f>
        <v>C:\Users\DAVE\Documents\Visual Studio 2013\Projects\WizardWrx_Libs\ConsoleAppAids2\TestStand\bin\Debug</v>
      </c>
      <c r="C78" s="10">
        <v>8468</v>
      </c>
      <c r="D78" s="11">
        <v>42526.847777777781</v>
      </c>
    </row>
    <row r="79" spans="1:4" x14ac:dyDescent="0.25">
      <c r="A79" s="12" t="s">
        <v>65</v>
      </c>
      <c r="B79" s="12" t="str">
        <f>[1]!GetFolder(A79)</f>
        <v>C:\Users\DAVE\Documents\Visual Studio 2013\Projects\WizardWrx_Libs\ConsoleAppAids2\TestStand\bin\Release</v>
      </c>
      <c r="C79" s="10">
        <v>8468</v>
      </c>
      <c r="D79" s="11">
        <v>42526.847777777781</v>
      </c>
    </row>
    <row r="80" spans="1:4" x14ac:dyDescent="0.25">
      <c r="A80" s="12" t="s">
        <v>64</v>
      </c>
      <c r="B80" s="12" t="str">
        <f>[1]!GetFolder(A80)</f>
        <v>C:\Users\DAVE\Documents\Visual Studio 2013\Projects\WizardWrx_Libs\DLLServices2\DLLServices2</v>
      </c>
      <c r="C80" s="10">
        <v>8468</v>
      </c>
      <c r="D80" s="11">
        <v>42526.847777777781</v>
      </c>
    </row>
    <row r="81" spans="1:4" x14ac:dyDescent="0.25">
      <c r="A81" s="12" t="s">
        <v>63</v>
      </c>
      <c r="B81" s="12" t="str">
        <f>[1]!GetFolder(A81)</f>
        <v>C:\Users\DAVE\Documents\Visual Studio 2013\Projects\WizardWrx_Libs\DLLServices2\DLLServices2\bin\Debug</v>
      </c>
      <c r="C81" s="10">
        <v>8468</v>
      </c>
      <c r="D81" s="11">
        <v>42526.847777777781</v>
      </c>
    </row>
    <row r="82" spans="1:4" x14ac:dyDescent="0.25">
      <c r="A82" s="12" t="s">
        <v>62</v>
      </c>
      <c r="B82" s="12" t="str">
        <f>[1]!GetFolder(A82)</f>
        <v>C:\Users\DAVE\Documents\Visual Studio 2013\Projects\WizardWrx_Libs\DLLServices2\DLLServices2\bin\Release</v>
      </c>
      <c r="C82" s="10">
        <v>8468</v>
      </c>
      <c r="D82" s="11">
        <v>42526.847777777781</v>
      </c>
    </row>
    <row r="83" spans="1:4" x14ac:dyDescent="0.25">
      <c r="A83" s="12" t="s">
        <v>61</v>
      </c>
      <c r="B83" s="12" t="str">
        <f>[1]!GetFolder(A83)</f>
        <v>C:\Users\DAVE\Documents\Visual Studio 2013\Projects\WizardWrx_Libs\DLLServices2\DLLServices2\obj\Debug</v>
      </c>
      <c r="C83" s="10">
        <v>8468</v>
      </c>
      <c r="D83" s="11">
        <v>42526.847777777781</v>
      </c>
    </row>
    <row r="84" spans="1:4" x14ac:dyDescent="0.25">
      <c r="A84" s="12" t="s">
        <v>60</v>
      </c>
      <c r="B84" s="12" t="str">
        <f>[1]!GetFolder(A84)</f>
        <v>C:\Users\DAVE\Documents\Visual Studio 2013\Projects\WizardWrx_Libs\DLLServices2\DLLServices2\obj\Release</v>
      </c>
      <c r="C84" s="10">
        <v>8468</v>
      </c>
      <c r="D84" s="11">
        <v>42526.847777777781</v>
      </c>
    </row>
    <row r="85" spans="1:4" x14ac:dyDescent="0.25">
      <c r="A85" s="12" t="s">
        <v>59</v>
      </c>
      <c r="B85" s="12" t="str">
        <f>[1]!GetFolder(A85)</f>
        <v>C:\Users\DAVE\Documents\Visual Studio 2013\Projects\WizardWrx_Libs\DLLServices2\DLLServices2TestStand\bin\Debug</v>
      </c>
      <c r="C85" s="10">
        <v>8468</v>
      </c>
      <c r="D85" s="11">
        <v>42526.847777777781</v>
      </c>
    </row>
    <row r="86" spans="1:4" x14ac:dyDescent="0.25">
      <c r="A86" s="12" t="s">
        <v>58</v>
      </c>
      <c r="B86" s="12" t="str">
        <f>[1]!GetFolder(A86)</f>
        <v>C:\Users\DAVE\Documents\Visual Studio 2013\Projects\WizardWrx_Libs\DLLServices2\DLLServices2TestStand\bin\Release</v>
      </c>
      <c r="C86" s="10">
        <v>8468</v>
      </c>
      <c r="D86" s="11">
        <v>42526.847777777781</v>
      </c>
    </row>
    <row r="87" spans="1:4" x14ac:dyDescent="0.25">
      <c r="A87" s="12" t="s">
        <v>57</v>
      </c>
      <c r="B87" s="12" t="str">
        <f>[1]!GetFolder(A87)</f>
        <v>C:\Users\DAVE\Documents\Visual Studio 2013\Projects\WizardWrx_Libs\DLLServices2\RedirectedStreamTester\bin\Debug</v>
      </c>
      <c r="C87" s="10">
        <v>8468</v>
      </c>
      <c r="D87" s="11">
        <v>42526.847777777781</v>
      </c>
    </row>
    <row r="88" spans="1:4" x14ac:dyDescent="0.25">
      <c r="A88" s="12" t="s">
        <v>56</v>
      </c>
      <c r="B88" s="12" t="str">
        <f>[1]!GetFolder(A88)</f>
        <v>C:\Users\DAVE\Documents\Visual Studio 2013\Projects\WizardWrx_Libs\DLLServices2\RedirectedStreamTester\bin\Release</v>
      </c>
      <c r="C88" s="10">
        <v>8468</v>
      </c>
      <c r="D88" s="11">
        <v>42526.847777777781</v>
      </c>
    </row>
    <row r="89" spans="1:4" x14ac:dyDescent="0.25">
      <c r="A89" s="12" t="s">
        <v>55</v>
      </c>
      <c r="B89" s="12" t="str">
        <f>[1]!GetFolder(A89)</f>
        <v>C:\Users\DAVE\Documents\Visual Studio 2013\Projects\WizardWrx_Libs\MailForAllApps\MailForAllApps\bin\Debug</v>
      </c>
      <c r="C89" s="10">
        <v>8468</v>
      </c>
      <c r="D89" s="11">
        <v>42526.847777777781</v>
      </c>
    </row>
    <row r="90" spans="1:4" x14ac:dyDescent="0.25">
      <c r="A90" s="12" t="s">
        <v>54</v>
      </c>
      <c r="B90" s="12" t="str">
        <f>[1]!GetFolder(A90)</f>
        <v>C:\Users\DAVE\Documents\Visual Studio 2013\Projects\WizardWrx_Libs\MailForAllApps\MailForAllApps\bin\Release</v>
      </c>
      <c r="C90" s="10">
        <v>8468</v>
      </c>
      <c r="D90" s="11">
        <v>42526.847777777781</v>
      </c>
    </row>
    <row r="91" spans="1:4" x14ac:dyDescent="0.25">
      <c r="A91" s="12" t="s">
        <v>53</v>
      </c>
      <c r="B91" s="12" t="str">
        <f>[1]!GetFolder(A91)</f>
        <v>C:\Users\DAVE\Documents\Visual Studio 2013\Projects\WizardWrx_Libs\MailForAllApps\TestStand</v>
      </c>
      <c r="C91" s="10">
        <v>8468</v>
      </c>
      <c r="D91" s="11">
        <v>42526.847777777781</v>
      </c>
    </row>
    <row r="92" spans="1:4" x14ac:dyDescent="0.25">
      <c r="A92" s="12" t="s">
        <v>52</v>
      </c>
      <c r="B92" s="12" t="str">
        <f>[1]!GetFolder(A92)</f>
        <v>C:\Users\DAVE\Documents\Visual Studio 2013\Projects\WizardWrx_Libs\MailForAllApps\TestStand\bin\Debug</v>
      </c>
      <c r="C92" s="10">
        <v>8468</v>
      </c>
      <c r="D92" s="11">
        <v>42526.847777777781</v>
      </c>
    </row>
    <row r="93" spans="1:4" x14ac:dyDescent="0.25">
      <c r="A93" s="12" t="s">
        <v>51</v>
      </c>
      <c r="B93" s="12" t="str">
        <f>[1]!GetFolder(A93)</f>
        <v>C:\Users\DAVE\Documents\Visual Studio 2013\Projects\WizardWrx_Libs\MailForAllApps\TestStand\bin\Release</v>
      </c>
      <c r="C93" s="10">
        <v>8468</v>
      </c>
      <c r="D93" s="11">
        <v>42526.847777777781</v>
      </c>
    </row>
    <row r="94" spans="1:4" x14ac:dyDescent="0.25">
      <c r="A94" s="12" t="s">
        <v>50</v>
      </c>
      <c r="B94" s="12" t="str">
        <f>[1]!GetFolder(A94)</f>
        <v>C:\Users\DAVE\Documents\Visual Studio 2013\Projects\WizardWrx_Libs\SharedUtl4\FormatStringEngine\bin\Debug</v>
      </c>
      <c r="C94" s="10">
        <v>8468</v>
      </c>
      <c r="D94" s="11">
        <v>42526.847777777781</v>
      </c>
    </row>
    <row r="95" spans="1:4" x14ac:dyDescent="0.25">
      <c r="A95" s="12" t="s">
        <v>49</v>
      </c>
      <c r="B95" s="12" t="str">
        <f>[1]!GetFolder(A95)</f>
        <v>C:\Users\DAVE\Documents\Visual Studio 2013\Projects\WizardWrx_Libs\SharedUtl4\SharedUtl4\bin\Debug</v>
      </c>
      <c r="C95" s="10">
        <v>8468</v>
      </c>
      <c r="D95" s="11">
        <v>42526.847777777781</v>
      </c>
    </row>
    <row r="96" spans="1:4" x14ac:dyDescent="0.25">
      <c r="A96" s="12" t="s">
        <v>48</v>
      </c>
      <c r="B96" s="12" t="str">
        <f>[1]!GetFolder(A96)</f>
        <v>C:\Users\DAVE\Documents\Visual Studio 2013\Projects\WizardWrx_Libs\SharedUtl4\SharedUtl4\bin\Release</v>
      </c>
      <c r="C96" s="10">
        <v>8468</v>
      </c>
      <c r="D96" s="11">
        <v>42526.847777777781</v>
      </c>
    </row>
    <row r="97" spans="1:4" x14ac:dyDescent="0.25">
      <c r="A97" s="12" t="s">
        <v>47</v>
      </c>
      <c r="B97" s="12" t="str">
        <f>[1]!GetFolder(A97)</f>
        <v>C:\Users\DAVE\Documents\Visual Studio 2013\Projects\WizardWrx_Libs\SharedUtl4\SharedUtl4_TestStand</v>
      </c>
      <c r="C97" s="10">
        <v>8468</v>
      </c>
      <c r="D97" s="11">
        <v>42526.847777777781</v>
      </c>
    </row>
    <row r="98" spans="1:4" x14ac:dyDescent="0.25">
      <c r="A98" s="12" t="s">
        <v>46</v>
      </c>
      <c r="B98" s="12" t="str">
        <f>[1]!GetFolder(A98)</f>
        <v>C:\Users\DAVE\Documents\Visual Studio 2013\Projects\WizardWrx_Libs\SharedUtl4\SharedUtl4_TestStand\bin\Debug</v>
      </c>
      <c r="C98" s="10">
        <v>8468</v>
      </c>
      <c r="D98" s="11">
        <v>42526.847777777781</v>
      </c>
    </row>
    <row r="99" spans="1:4" x14ac:dyDescent="0.25">
      <c r="A99" s="12" t="s">
        <v>45</v>
      </c>
      <c r="B99" s="12" t="str">
        <f>[1]!GetFolder(A99)</f>
        <v>C:\Users\DAVE\Documents\Visual Studio 2013\Projects\WizardWrx_Libs\SharedUtl4\SharedUtl4_TestStand\bin\Release</v>
      </c>
      <c r="C99" s="10">
        <v>8468</v>
      </c>
      <c r="D99" s="11">
        <v>42526.847777777781</v>
      </c>
    </row>
    <row r="100" spans="1:4" x14ac:dyDescent="0.25">
      <c r="A100" s="12" t="s">
        <v>44</v>
      </c>
      <c r="B100" s="12" t="str">
        <f>[1]!GetFolder(A100)</f>
        <v>C:\Users\DAVE\Documents\Visual Studio 2013\Projects\WizardWrx_Libs\WinFormsHelpers\WinFormsHelpers\bin\Debug</v>
      </c>
      <c r="C100" s="10">
        <v>8468</v>
      </c>
      <c r="D100" s="11">
        <v>42526.847777777781</v>
      </c>
    </row>
    <row r="101" spans="1:4" x14ac:dyDescent="0.25">
      <c r="A101" s="12" t="s">
        <v>43</v>
      </c>
      <c r="B101" s="12" t="str">
        <f>[1]!GetFolder(A101)</f>
        <v>C:\Users\DAVE\Documents\Visual Studio 2013\Projects\WizardWrx_Libs\WinFormsHelpers\WinFormsHelpers\bin\Release</v>
      </c>
      <c r="C101" s="10">
        <v>8468</v>
      </c>
      <c r="D101" s="11">
        <v>42526.847777777781</v>
      </c>
    </row>
    <row r="102" spans="1:4" x14ac:dyDescent="0.25">
      <c r="A102" s="12" t="s">
        <v>101</v>
      </c>
      <c r="B102" s="12" t="str">
        <f>[1]!GetFolder(A102)</f>
        <v>C:\Users\DAVE\Documents\Visual Studio 2013\Projects\NOLANB\EZPayFileMonitor\EZPayFileMonitor</v>
      </c>
      <c r="C102" s="10">
        <v>2976</v>
      </c>
      <c r="D102" s="11">
        <v>41891.714513888888</v>
      </c>
    </row>
    <row r="103" spans="1:4" x14ac:dyDescent="0.25">
      <c r="A103" s="12" t="s">
        <v>25</v>
      </c>
      <c r="B103" s="12" t="str">
        <f>[1]!GetFolder(A103)</f>
        <v>C:\Users\Public\Documents\H_DEASE\AI_PKG_400</v>
      </c>
      <c r="C103" s="10">
        <v>2976</v>
      </c>
      <c r="D103" s="11">
        <v>41891.714513888888</v>
      </c>
    </row>
    <row r="104" spans="1:4" x14ac:dyDescent="0.25">
      <c r="A104" s="12" t="s">
        <v>24</v>
      </c>
      <c r="B104" s="12" t="str">
        <f>[1]!GetFolder(A104)</f>
        <v>C:\Users\Public\Documents\H_DEASE\UTIL_from_ZAPHOD42</v>
      </c>
      <c r="C104" s="10">
        <v>2976</v>
      </c>
      <c r="D104" s="11">
        <v>41891.714513888888</v>
      </c>
    </row>
    <row r="105" spans="1:4" x14ac:dyDescent="0.25">
      <c r="A105" s="12" t="s">
        <v>20</v>
      </c>
      <c r="B105" s="12" t="str">
        <f>[1]!GetFolder(A105)</f>
        <v>C:\Users\Public\Documents\NOLANB\_Installation_Packages\Remote\2014\20141010\AI_PKG_400</v>
      </c>
      <c r="C105" s="10">
        <v>2976</v>
      </c>
      <c r="D105" s="11">
        <v>41891.714513888888</v>
      </c>
    </row>
    <row r="106" spans="1:4" x14ac:dyDescent="0.25">
      <c r="A106" s="12" t="s">
        <v>19</v>
      </c>
      <c r="B106" s="12" t="str">
        <f>[1]!GetFolder(A106)</f>
        <v>C:\Users\Public\Documents\NOLANB\_Installation_Packages\UTIL_Reference</v>
      </c>
      <c r="C106" s="10">
        <v>2976</v>
      </c>
      <c r="D106" s="11">
        <v>41891.714513888888</v>
      </c>
    </row>
    <row r="107" spans="1:4" x14ac:dyDescent="0.25">
      <c r="A107" s="12" t="s">
        <v>18</v>
      </c>
      <c r="B107" s="12" t="str">
        <f>[1]!GetFolder(A107)</f>
        <v>C:\UTIL</v>
      </c>
      <c r="C107" s="10">
        <v>2976</v>
      </c>
      <c r="D107" s="11">
        <v>41891.714490740742</v>
      </c>
    </row>
    <row r="108" spans="1:4" x14ac:dyDescent="0.25">
      <c r="A108" s="12" t="s">
        <v>22</v>
      </c>
      <c r="B108" s="12" t="str">
        <f>[1]!GetFolder(A108)</f>
        <v>C:\Users\Public\Documents\NOLANB\TASKS\_EMV_Credit_Card_Processing\_Deliverables_Prep\UTIL_ZAPHOD42_20160309_085628</v>
      </c>
      <c r="C108" s="10">
        <v>2976</v>
      </c>
      <c r="D108" s="11">
        <v>41891.672847222224</v>
      </c>
    </row>
    <row r="109" spans="1:4" x14ac:dyDescent="0.25">
      <c r="A109" s="12" t="s">
        <v>21</v>
      </c>
      <c r="B109" s="12" t="str">
        <f>[1]!GetFolder(A109)</f>
        <v>C:\Users\Public\Documents\NOLANB\TASKS\_PTI_Gate_2016\UTIL_Rock_Hill</v>
      </c>
      <c r="C109" s="10">
        <v>2976</v>
      </c>
      <c r="D109" s="11">
        <v>41891.672847222224</v>
      </c>
    </row>
    <row r="110" spans="1:4" x14ac:dyDescent="0.25">
      <c r="A110" s="12" t="s">
        <v>136</v>
      </c>
      <c r="B110" s="12" t="str">
        <f>[1]!GetFolder(A110)</f>
        <v>C:\Users\DAVE\Documents\Articles_2015\Console_Output_Magic\Console_Color_Writer\TestStand</v>
      </c>
      <c r="C110" s="10">
        <v>2976</v>
      </c>
      <c r="D110" s="11">
        <v>41840.902037037034</v>
      </c>
    </row>
    <row r="111" spans="1:4" x14ac:dyDescent="0.25">
      <c r="A111" s="12" t="s">
        <v>93</v>
      </c>
      <c r="B111" s="12" t="str">
        <f>[1]!GetFolder(A111)</f>
        <v>C:\Users\DAVE\Documents\Visual Studio 2013\Projects\NOLANB\LogBasePruner\LogBasePruner</v>
      </c>
      <c r="C111" s="10">
        <v>2976</v>
      </c>
      <c r="D111" s="11">
        <v>41832.649212962962</v>
      </c>
    </row>
    <row r="112" spans="1:4" x14ac:dyDescent="0.25">
      <c r="A112" s="12" t="s">
        <v>92</v>
      </c>
      <c r="B112" s="12" t="str">
        <f>[1]!GetFolder(A112)</f>
        <v>C:\Users\DAVE\Documents\Visual Studio 2013\Projects\NOLANB\LogBasePruner\LogBasePruner\bin\Debug</v>
      </c>
      <c r="C112" s="10">
        <v>2976</v>
      </c>
      <c r="D112" s="11">
        <v>41832.649212962962</v>
      </c>
    </row>
    <row r="113" spans="1:4" x14ac:dyDescent="0.25">
      <c r="A113" s="12" t="s">
        <v>91</v>
      </c>
      <c r="B113" s="12" t="str">
        <f>[1]!GetFolder(A113)</f>
        <v>C:\Users\DAVE\Documents\Visual Studio 2013\Projects\NOLANB\LogBasePruner\LogBasePruner\bin\Release</v>
      </c>
      <c r="C113" s="10">
        <v>2976</v>
      </c>
      <c r="D113" s="11">
        <v>41832.649212962962</v>
      </c>
    </row>
    <row r="114" spans="1:4" x14ac:dyDescent="0.25">
      <c r="A114" s="12" t="s">
        <v>23</v>
      </c>
      <c r="B114" s="12" t="str">
        <f>[1]!GetFolder(A114)</f>
        <v>C:\Users\Public\Documents\NOLANB\TASKS\Corrupted_HO_Logbase\distribution</v>
      </c>
      <c r="C114" s="10">
        <v>2976</v>
      </c>
      <c r="D114" s="11">
        <v>41832.649212962962</v>
      </c>
    </row>
    <row r="115" spans="1:4" x14ac:dyDescent="0.25">
      <c r="A115" s="12" t="s">
        <v>139</v>
      </c>
      <c r="B115" s="12" t="str">
        <f>[1]!GetFolder(A115)</f>
        <v>C:\Users\DAVE\Documents\Articles_2015\Console_Output_Magic\Console_Color_Writer\ConsoleAppAids2</v>
      </c>
      <c r="C115" s="10">
        <v>2976</v>
      </c>
      <c r="D115" s="11">
        <v>41813.462777777779</v>
      </c>
    </row>
    <row r="116" spans="1:4" x14ac:dyDescent="0.25">
      <c r="A116" s="12" t="s">
        <v>138</v>
      </c>
      <c r="B116" s="12" t="str">
        <f>[1]!GetFolder(A116)</f>
        <v>C:\Users\DAVE\Documents\Articles_2015\Console_Output_Magic\Console_Color_Writer\ConsoleAppAids2\bin\Debug</v>
      </c>
      <c r="C116" s="10">
        <v>2976</v>
      </c>
      <c r="D116" s="11">
        <v>41813.462777777779</v>
      </c>
    </row>
    <row r="117" spans="1:4" x14ac:dyDescent="0.25">
      <c r="A117" s="12" t="s">
        <v>137</v>
      </c>
      <c r="B117" s="12" t="str">
        <f>[1]!GetFolder(A117)</f>
        <v>C:\Users\DAVE\Documents\Articles_2015\Console_Output_Magic\Console_Color_Writer\ConsoleAppAids2\bin\Release</v>
      </c>
      <c r="C117" s="10">
        <v>2976</v>
      </c>
      <c r="D117" s="11">
        <v>41813.462777777779</v>
      </c>
    </row>
    <row r="118" spans="1:4" x14ac:dyDescent="0.25">
      <c r="A118" s="12" t="s">
        <v>135</v>
      </c>
      <c r="B118" s="12" t="str">
        <f>[1]!GetFolder(A118)</f>
        <v>C:\Users\DAVE\Documents\Articles_2015\Console_Output_Magic\Console_Color_Writer\TestStand\bin\Debug</v>
      </c>
      <c r="C118" s="10">
        <v>2976</v>
      </c>
      <c r="D118" s="11">
        <v>41813.462777777779</v>
      </c>
    </row>
    <row r="119" spans="1:4" x14ac:dyDescent="0.25">
      <c r="A119" s="12" t="s">
        <v>134</v>
      </c>
      <c r="B119" s="12" t="str">
        <f>[1]!GetFolder(A119)</f>
        <v>C:\Users\DAVE\Documents\Articles_2015\Console_Output_Magic\Console_Color_Writer\TestStand\bin\Release</v>
      </c>
      <c r="C119" s="10">
        <v>2976</v>
      </c>
      <c r="D119" s="11">
        <v>41813.462777777779</v>
      </c>
    </row>
    <row r="120" spans="1:4" x14ac:dyDescent="0.25">
      <c r="A120" s="12" t="s">
        <v>133</v>
      </c>
      <c r="B120" s="12" t="str">
        <f>[1]!GetFolder(A120)</f>
        <v>C:\Users\DAVE\Documents\Articles_2015\Console_Output_Magic\DLLServices2\DLLServices2</v>
      </c>
      <c r="C120" s="10">
        <v>2976</v>
      </c>
      <c r="D120" s="11">
        <v>41812.710462962961</v>
      </c>
    </row>
    <row r="121" spans="1:4" x14ac:dyDescent="0.25">
      <c r="A121" s="12" t="s">
        <v>132</v>
      </c>
      <c r="B121" s="12" t="str">
        <f>[1]!GetFolder(A121)</f>
        <v>C:\Users\DAVE\Documents\Articles_2015\Console_Output_Magic\DLLServices2\DLLServices2\bin\Debug</v>
      </c>
      <c r="C121" s="10">
        <v>2976</v>
      </c>
      <c r="D121" s="11">
        <v>41812.710462962961</v>
      </c>
    </row>
    <row r="122" spans="1:4" x14ac:dyDescent="0.25">
      <c r="A122" s="12" t="s">
        <v>131</v>
      </c>
      <c r="B122" s="12" t="str">
        <f>[1]!GetFolder(A122)</f>
        <v>C:\Users\DAVE\Documents\Articles_2015\Console_Output_Magic\DLLServices2\DLLServices2\bin\Release</v>
      </c>
      <c r="C122" s="10">
        <v>2976</v>
      </c>
      <c r="D122" s="11">
        <v>41812.710462962961</v>
      </c>
    </row>
    <row r="123" spans="1:4" x14ac:dyDescent="0.25">
      <c r="A123" s="12" t="s">
        <v>130</v>
      </c>
      <c r="B123" s="12" t="str">
        <f>[1]!GetFolder(A123)</f>
        <v>C:\Users\DAVE\Documents\Articles_2015\Console_Output_Magic\DLLServices2\DLLServices2TestStand\bin\Debug</v>
      </c>
      <c r="C123" s="10">
        <v>2976</v>
      </c>
      <c r="D123" s="11">
        <v>41812.710462962961</v>
      </c>
    </row>
    <row r="124" spans="1:4" x14ac:dyDescent="0.25">
      <c r="A124" s="12" t="s">
        <v>129</v>
      </c>
      <c r="B124" s="12" t="str">
        <f>[1]!GetFolder(A124)</f>
        <v>C:\Users\DAVE\Documents\Articles_2015\Console_Output_Magic\DLLServices2\DLLServices2TestStand\bin\Release</v>
      </c>
      <c r="C124" s="10">
        <v>2976</v>
      </c>
      <c r="D124" s="11">
        <v>41812.710462962961</v>
      </c>
    </row>
  </sheetData>
  <sortState ref="A2:D124">
    <sortCondition descending="1" ref="D2:D124"/>
    <sortCondition ref="B2:B124"/>
  </sortState>
  <conditionalFormatting sqref="A2:D2">
    <cfRule type="expression" dxfId="1" priority="2">
      <formula>$D2=Newest_DllServices_Config</formula>
    </cfRule>
  </conditionalFormatting>
  <conditionalFormatting sqref="A3:D124">
    <cfRule type="expression" dxfId="0" priority="1">
      <formula>$D3=Newest_DllServices_Config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"/>
  <sheetViews>
    <sheetView tabSelected="1" topLeftCell="A117" workbookViewId="0">
      <selection activeCell="B126" sqref="B126"/>
    </sheetView>
  </sheetViews>
  <sheetFormatPr defaultRowHeight="15" x14ac:dyDescent="0.25"/>
  <cols>
    <col min="1" max="1" width="152.125" bestFit="1" customWidth="1"/>
    <col min="3" max="3" width="49" bestFit="1" customWidth="1"/>
  </cols>
  <sheetData>
    <row r="1" spans="1:7" x14ac:dyDescent="0.25">
      <c r="A1" t="s">
        <v>145</v>
      </c>
      <c r="B1" t="s">
        <v>146</v>
      </c>
      <c r="C1" t="s">
        <v>393</v>
      </c>
      <c r="D1" t="s">
        <v>144</v>
      </c>
      <c r="E1" t="s">
        <v>143</v>
      </c>
      <c r="F1" t="s">
        <v>142</v>
      </c>
      <c r="G1" t="s">
        <v>141</v>
      </c>
    </row>
    <row r="2" spans="1:7" x14ac:dyDescent="0.25">
      <c r="A2" t="s">
        <v>392</v>
      </c>
      <c r="B2" t="str">
        <f>[1]!GetFolder(A2)</f>
        <v>C:\bin</v>
      </c>
      <c r="C2" t="str">
        <f>[1]!GetFile(A2)</f>
        <v>Clear_Recycle_Bin_of_Items_Over_X_Days_Old.VBS</v>
      </c>
      <c r="D2">
        <v>10413</v>
      </c>
      <c r="E2" s="7">
        <v>42623.768854166665</v>
      </c>
      <c r="F2" s="7">
        <v>41991.935949074075</v>
      </c>
      <c r="G2" s="7">
        <v>41382.424375000002</v>
      </c>
    </row>
    <row r="3" spans="1:7" x14ac:dyDescent="0.25">
      <c r="A3" t="s">
        <v>391</v>
      </c>
      <c r="B3" t="str">
        <f>[1]!GetFolder(A3)</f>
        <v>C:\bin</v>
      </c>
      <c r="C3" t="str">
        <f>[1]!GetFile(A3)</f>
        <v>MakeShortcut.VBS</v>
      </c>
      <c r="D3">
        <v>50086</v>
      </c>
      <c r="E3" s="7">
        <v>42624.684641203705</v>
      </c>
      <c r="F3" s="7">
        <v>42624.684641203705</v>
      </c>
      <c r="G3" s="7">
        <v>42269.003518518519</v>
      </c>
    </row>
    <row r="4" spans="1:7" x14ac:dyDescent="0.25">
      <c r="A4" t="s">
        <v>390</v>
      </c>
      <c r="B4" t="str">
        <f>[1]!GetFolder(A4)</f>
        <v>C:\bin</v>
      </c>
      <c r="C4" t="str">
        <f>[1]!GetFile(A4)</f>
        <v>ParseTaggedArgs.VBS</v>
      </c>
      <c r="D4">
        <v>23067</v>
      </c>
      <c r="E4" s="7">
        <v>42623.768842592595</v>
      </c>
      <c r="F4" s="7">
        <v>40105.869143518517</v>
      </c>
      <c r="G4" s="7">
        <v>41883.57472222222</v>
      </c>
    </row>
    <row r="5" spans="1:7" x14ac:dyDescent="0.25">
      <c r="A5" t="s">
        <v>389</v>
      </c>
      <c r="B5" t="str">
        <f>[1]!GetFolder(A5)</f>
        <v>C:\bin\Perl\eg\Windows Script Components</v>
      </c>
      <c r="C5" t="str">
        <f>[1]!GetFile(A5)</f>
        <v>test.vbs</v>
      </c>
      <c r="D5">
        <v>284</v>
      </c>
      <c r="E5" s="7">
        <v>42535.013888888891</v>
      </c>
      <c r="F5" s="7">
        <v>36748.784328703703</v>
      </c>
      <c r="G5" s="7">
        <v>36748.784328703703</v>
      </c>
    </row>
    <row r="6" spans="1:7" x14ac:dyDescent="0.25">
      <c r="A6" t="s">
        <v>388</v>
      </c>
      <c r="B6" t="str">
        <f>[1]!GetFolder(A6)</f>
        <v>C:\OEM\ABB</v>
      </c>
      <c r="C6" t="str">
        <f>[1]!GetFile(A6)</f>
        <v>InstallAmazon_shortcut.vbs</v>
      </c>
      <c r="D6">
        <v>2654</v>
      </c>
      <c r="E6" s="7">
        <v>42377.942291666666</v>
      </c>
      <c r="F6" s="7">
        <v>40968.122314814813</v>
      </c>
      <c r="G6" s="7">
        <v>41009.278009259258</v>
      </c>
    </row>
    <row r="7" spans="1:7" x14ac:dyDescent="0.25">
      <c r="A7" t="s">
        <v>387</v>
      </c>
      <c r="B7" t="str">
        <f>[1]!GetFolder(A7)</f>
        <v>C:\OEM\Preload\Autorun\APP\AUPEO</v>
      </c>
      <c r="C7" t="str">
        <f>[1]!GetFile(A7)</f>
        <v>MakeLinkAupeo.vbs</v>
      </c>
      <c r="D7">
        <v>708</v>
      </c>
      <c r="E7" s="7">
        <v>42377.942615740743</v>
      </c>
      <c r="F7" s="7">
        <v>40398.963333333333</v>
      </c>
      <c r="G7" s="7">
        <v>40496.964849537035</v>
      </c>
    </row>
    <row r="8" spans="1:7" x14ac:dyDescent="0.25">
      <c r="A8" t="s">
        <v>386</v>
      </c>
      <c r="B8" t="str">
        <f>[1]!GetFolder(A8)</f>
        <v>C:\OEM\Preload\Autorun\APP\Netflix Shortcut</v>
      </c>
      <c r="C8" t="str">
        <f>[1]!GetFile(A8)</f>
        <v>InstallNetflixA.vbs</v>
      </c>
      <c r="D8">
        <v>3676</v>
      </c>
      <c r="E8" s="7">
        <v>42377.9450462963</v>
      </c>
      <c r="F8" s="7">
        <v>40944.8437037037</v>
      </c>
      <c r="G8" s="7">
        <v>41009.278692129628</v>
      </c>
    </row>
    <row r="9" spans="1:7" x14ac:dyDescent="0.25">
      <c r="A9" t="s">
        <v>385</v>
      </c>
      <c r="B9" t="str">
        <f>[1]!GetFolder(A9)</f>
        <v>C:\OEM\Preload\Autorun\APP\Netflix Shortcut</v>
      </c>
      <c r="C9" t="str">
        <f>[1]!GetFile(A9)</f>
        <v>InstallNetflixE.vbs</v>
      </c>
      <c r="D9">
        <v>3681</v>
      </c>
      <c r="E9" s="7">
        <v>42377.9450462963</v>
      </c>
      <c r="F9" s="7">
        <v>40944.843958333331</v>
      </c>
      <c r="G9" s="7">
        <v>41009.278692129628</v>
      </c>
    </row>
    <row r="10" spans="1:7" x14ac:dyDescent="0.25">
      <c r="A10" t="s">
        <v>384</v>
      </c>
      <c r="B10" t="str">
        <f>[1]!GetFolder(A10)</f>
        <v>C:\OEM\Preload\Autorun\APP\Netflix Shortcut</v>
      </c>
      <c r="C10" t="str">
        <f>[1]!GetFile(A10)</f>
        <v>InstallNetflixG.vbs</v>
      </c>
      <c r="D10">
        <v>3680</v>
      </c>
      <c r="E10" s="7">
        <v>42377.9450462963</v>
      </c>
      <c r="F10" s="7">
        <v>40944.843564814815</v>
      </c>
      <c r="G10" s="7">
        <v>41009.278692129628</v>
      </c>
    </row>
    <row r="11" spans="1:7" x14ac:dyDescent="0.25">
      <c r="A11" t="s">
        <v>383</v>
      </c>
      <c r="B11" t="str">
        <f>[1]!GetFolder(A11)</f>
        <v>C:\OEM\Preload\Autorun\APP\Netflix Shortcut</v>
      </c>
      <c r="C11" t="str">
        <f>[1]!GetFile(A11)</f>
        <v>InstallNetflixP.vbs</v>
      </c>
      <c r="D11">
        <v>2048</v>
      </c>
      <c r="E11" s="7">
        <v>42377.9450462963</v>
      </c>
      <c r="F11" s="7">
        <v>40981.112222222226</v>
      </c>
      <c r="G11" s="7">
        <v>41009.278692129628</v>
      </c>
    </row>
    <row r="12" spans="1:7" x14ac:dyDescent="0.25">
      <c r="A12" t="s">
        <v>382</v>
      </c>
      <c r="B12" t="str">
        <f>[1]!GetFolder(A12)</f>
        <v>C:\OEM\Preload\utility</v>
      </c>
      <c r="C12" t="str">
        <f>[1]!GetFile(A12)</f>
        <v>_NowIntoDT.vbs</v>
      </c>
      <c r="D12">
        <v>486</v>
      </c>
      <c r="E12" s="7">
        <v>42377.948217592595</v>
      </c>
      <c r="F12" s="7">
        <v>40177.201539351852</v>
      </c>
      <c r="G12" s="7">
        <v>41009.279629629629</v>
      </c>
    </row>
    <row r="13" spans="1:7" x14ac:dyDescent="0.25">
      <c r="A13" t="s">
        <v>381</v>
      </c>
      <c r="B13" t="str">
        <f>[1]!GetFolder(A13)</f>
        <v>C:\Program Files\ImageMagick-6.9.1-Q16\ImageMagickObject\Tests</v>
      </c>
      <c r="C13" t="str">
        <f>[1]!GetFile(A13)</f>
        <v>ArrayTest.vbs</v>
      </c>
      <c r="D13">
        <v>3579</v>
      </c>
      <c r="E13" s="7">
        <v>42377.948946759258</v>
      </c>
      <c r="F13" s="7">
        <v>42196.17863425926</v>
      </c>
      <c r="G13" s="7">
        <v>42201.512071759258</v>
      </c>
    </row>
    <row r="14" spans="1:7" x14ac:dyDescent="0.25">
      <c r="A14" t="s">
        <v>380</v>
      </c>
      <c r="B14" t="str">
        <f>[1]!GetFolder(A14)</f>
        <v>C:\Program Files\ImageMagick-6.9.1-Q16\ImageMagickObject\Tests</v>
      </c>
      <c r="C14" t="str">
        <f>[1]!GetFile(A14)</f>
        <v>SimpleTest.vbs</v>
      </c>
      <c r="D14">
        <v>1563</v>
      </c>
      <c r="E14" s="7">
        <v>42377.948946759258</v>
      </c>
      <c r="F14" s="7">
        <v>42196.17863425926</v>
      </c>
      <c r="G14" s="7">
        <v>42201.512071759258</v>
      </c>
    </row>
    <row r="15" spans="1:7" x14ac:dyDescent="0.25">
      <c r="A15" t="s">
        <v>379</v>
      </c>
      <c r="B15" t="str">
        <f>[1]!GetFolder(A15)</f>
        <v>C:\Program Files (x86)\Gateway\Welcome Center\Unpin</v>
      </c>
      <c r="C15" t="str">
        <f>[1]!GetFile(A15)</f>
        <v>Unpin.vbs</v>
      </c>
      <c r="D15">
        <v>733</v>
      </c>
      <c r="E15" s="7">
        <v>42377.958009259259</v>
      </c>
      <c r="F15" s="7">
        <v>40036.097314814811</v>
      </c>
      <c r="G15" s="7">
        <v>40036.097314814811</v>
      </c>
    </row>
    <row r="16" spans="1:7" x14ac:dyDescent="0.25">
      <c r="A16" t="s">
        <v>378</v>
      </c>
      <c r="B16" t="str">
        <f>[1]!GetFolder(A16)</f>
        <v>C:\Program Files (x86)\Microsoft Office\Office14</v>
      </c>
      <c r="C16" t="str">
        <f>[1]!GetFile(A16)</f>
        <v>OSPP.VBS</v>
      </c>
      <c r="D16">
        <v>49433</v>
      </c>
      <c r="E16" s="7">
        <v>42624.20275462963</v>
      </c>
      <c r="F16" s="7">
        <v>40243.187847222223</v>
      </c>
      <c r="G16" s="7">
        <v>40243.187847222223</v>
      </c>
    </row>
    <row r="17" spans="1:7" x14ac:dyDescent="0.25">
      <c r="A17" t="s">
        <v>377</v>
      </c>
      <c r="B17" t="str">
        <f>[1]!GetFolder(A17)</f>
        <v>C:\Program Files (x86)\Microsoft SDKs\Windows\v7.1A\Include</v>
      </c>
      <c r="C17" t="str">
        <f>[1]!GetFile(A17)</f>
        <v>DHtmled.vbs</v>
      </c>
      <c r="D17">
        <v>14522</v>
      </c>
      <c r="E17" s="7">
        <v>42377.961747685185</v>
      </c>
      <c r="F17" s="7">
        <v>41183.384560185186</v>
      </c>
      <c r="G17" s="7">
        <v>41183.384560185186</v>
      </c>
    </row>
    <row r="18" spans="1:7" x14ac:dyDescent="0.25">
      <c r="A18" t="s">
        <v>376</v>
      </c>
      <c r="B18" t="str">
        <f>[1]!GetFolder(A18)</f>
        <v>C:\Program Files (x86)\Microsoft SDKs\Windows\v7.1A\Include</v>
      </c>
      <c r="C18" t="str">
        <f>[1]!GetFile(A18)</f>
        <v>NNTPReg.Vbs</v>
      </c>
      <c r="D18">
        <v>28761</v>
      </c>
      <c r="E18" s="7">
        <v>42377.961770833332</v>
      </c>
      <c r="F18" s="7">
        <v>41183.384675925925</v>
      </c>
      <c r="G18" s="7">
        <v>41183.384675925925</v>
      </c>
    </row>
    <row r="19" spans="1:7" x14ac:dyDescent="0.25">
      <c r="A19" t="s">
        <v>375</v>
      </c>
      <c r="B19" t="str">
        <f>[1]!GetFolder(A19)</f>
        <v>C:\Program Files (x86)\Microsoft SDKs\Windows\v7.1A\Include</v>
      </c>
      <c r="C19" t="str">
        <f>[1]!GetFile(A19)</f>
        <v>SMTPReg.Vbs</v>
      </c>
      <c r="D19">
        <v>27570</v>
      </c>
      <c r="E19" s="7">
        <v>42377.961782407408</v>
      </c>
      <c r="F19" s="7">
        <v>41183.384722222225</v>
      </c>
      <c r="G19" s="7">
        <v>41183.384722222225</v>
      </c>
    </row>
    <row r="20" spans="1:7" x14ac:dyDescent="0.25">
      <c r="A20" t="s">
        <v>374</v>
      </c>
      <c r="B20" t="str">
        <f>[1]!GetFolder(A20)</f>
        <v>C:\Program Files (x86)\Windows Kits\8.0\bin\x64</v>
      </c>
      <c r="C20" t="str">
        <f>[1]!GetFile(A20)</f>
        <v>register_app.vbs</v>
      </c>
      <c r="D20">
        <v>10946</v>
      </c>
      <c r="E20" s="7">
        <v>42377.972962962966</v>
      </c>
      <c r="F20" s="7">
        <v>41477.638749999998</v>
      </c>
      <c r="G20" s="7">
        <v>41477.638749999998</v>
      </c>
    </row>
    <row r="21" spans="1:7" x14ac:dyDescent="0.25">
      <c r="A21" t="s">
        <v>373</v>
      </c>
      <c r="B21" t="str">
        <f>[1]!GetFolder(A21)</f>
        <v>C:\Program Files (x86)\Windows Kits\8.0\bin\x64</v>
      </c>
      <c r="C21" t="str">
        <f>[1]!GetFile(A21)</f>
        <v>WiCompon.vbs</v>
      </c>
      <c r="D21">
        <v>8705</v>
      </c>
      <c r="E21" s="7">
        <v>42377.972962962966</v>
      </c>
      <c r="F21" s="7">
        <v>41477.635092592594</v>
      </c>
      <c r="G21" s="7">
        <v>41477.635092592594</v>
      </c>
    </row>
    <row r="22" spans="1:7" x14ac:dyDescent="0.25">
      <c r="A22" t="s">
        <v>372</v>
      </c>
      <c r="B22" t="str">
        <f>[1]!GetFolder(A22)</f>
        <v>C:\Program Files (x86)\Windows Kits\8.0\bin\x64</v>
      </c>
      <c r="C22" t="str">
        <f>[1]!GetFile(A22)</f>
        <v>widialog.vbs</v>
      </c>
      <c r="D22">
        <v>4252</v>
      </c>
      <c r="E22" s="7">
        <v>42377.972962962966</v>
      </c>
      <c r="F22" s="7">
        <v>41477.635092592594</v>
      </c>
      <c r="G22" s="7">
        <v>41477.635092592594</v>
      </c>
    </row>
    <row r="23" spans="1:7" x14ac:dyDescent="0.25">
      <c r="A23" t="s">
        <v>371</v>
      </c>
      <c r="B23" t="str">
        <f>[1]!GetFolder(A23)</f>
        <v>C:\Program Files (x86)\Windows Kits\8.0\bin\x64</v>
      </c>
      <c r="C23" t="str">
        <f>[1]!GetFile(A23)</f>
        <v>widiffdb.vbs</v>
      </c>
      <c r="D23">
        <v>4832</v>
      </c>
      <c r="E23" s="7">
        <v>42377.972962962966</v>
      </c>
      <c r="F23" s="7">
        <v>41477.635092592594</v>
      </c>
      <c r="G23" s="7">
        <v>41477.635092592594</v>
      </c>
    </row>
    <row r="24" spans="1:7" x14ac:dyDescent="0.25">
      <c r="A24" t="s">
        <v>370</v>
      </c>
      <c r="B24" t="str">
        <f>[1]!GetFolder(A24)</f>
        <v>C:\Program Files (x86)\Windows Kits\8.0\bin\x64</v>
      </c>
      <c r="C24" t="str">
        <f>[1]!GetFile(A24)</f>
        <v>wiexport.vbs</v>
      </c>
      <c r="D24">
        <v>2837</v>
      </c>
      <c r="E24" s="7">
        <v>42377.972962962966</v>
      </c>
      <c r="F24" s="7">
        <v>41477.635092592594</v>
      </c>
      <c r="G24" s="7">
        <v>41477.635092592594</v>
      </c>
    </row>
    <row r="25" spans="1:7" x14ac:dyDescent="0.25">
      <c r="A25" t="s">
        <v>369</v>
      </c>
      <c r="B25" t="str">
        <f>[1]!GetFolder(A25)</f>
        <v>C:\Program Files (x86)\Windows Kits\8.0\bin\x64</v>
      </c>
      <c r="C25" t="str">
        <f>[1]!GetFile(A25)</f>
        <v>wifeatur.vbs</v>
      </c>
      <c r="D25">
        <v>8232</v>
      </c>
      <c r="E25" s="7">
        <v>42377.972962962966</v>
      </c>
      <c r="F25" s="7">
        <v>41477.635092592594</v>
      </c>
      <c r="G25" s="7">
        <v>41477.635092592594</v>
      </c>
    </row>
    <row r="26" spans="1:7" x14ac:dyDescent="0.25">
      <c r="A26" t="s">
        <v>368</v>
      </c>
      <c r="B26" t="str">
        <f>[1]!GetFolder(A26)</f>
        <v>C:\Program Files (x86)\Windows Kits\8.0\bin\x64</v>
      </c>
      <c r="C26" t="str">
        <f>[1]!GetFile(A26)</f>
        <v>wifilver.vbs</v>
      </c>
      <c r="D26">
        <v>10967</v>
      </c>
      <c r="E26" s="7">
        <v>42377.972962962966</v>
      </c>
      <c r="F26" s="7">
        <v>41477.635092592594</v>
      </c>
      <c r="G26" s="7">
        <v>41477.635092592594</v>
      </c>
    </row>
    <row r="27" spans="1:7" x14ac:dyDescent="0.25">
      <c r="A27" t="s">
        <v>367</v>
      </c>
      <c r="B27" t="str">
        <f>[1]!GetFolder(A27)</f>
        <v>C:\Program Files (x86)\Windows Kits\8.0\bin\x64</v>
      </c>
      <c r="C27" t="str">
        <f>[1]!GetFile(A27)</f>
        <v>wigenxfm.vbs</v>
      </c>
      <c r="D27">
        <v>2186</v>
      </c>
      <c r="E27" s="7">
        <v>42377.972962962966</v>
      </c>
      <c r="F27" s="7">
        <v>41477.635092592594</v>
      </c>
      <c r="G27" s="7">
        <v>41477.635092592594</v>
      </c>
    </row>
    <row r="28" spans="1:7" x14ac:dyDescent="0.25">
      <c r="A28" t="s">
        <v>366</v>
      </c>
      <c r="B28" t="str">
        <f>[1]!GetFolder(A28)</f>
        <v>C:\Program Files (x86)\Windows Kits\8.0\bin\x64</v>
      </c>
      <c r="C28" t="str">
        <f>[1]!GetFile(A28)</f>
        <v>wiimport.vbs</v>
      </c>
      <c r="D28">
        <v>3472</v>
      </c>
      <c r="E28" s="7">
        <v>42377.972962962966</v>
      </c>
      <c r="F28" s="7">
        <v>41477.635092592594</v>
      </c>
      <c r="G28" s="7">
        <v>41477.635092592594</v>
      </c>
    </row>
    <row r="29" spans="1:7" x14ac:dyDescent="0.25">
      <c r="A29" t="s">
        <v>365</v>
      </c>
      <c r="B29" t="str">
        <f>[1]!GetFolder(A29)</f>
        <v>C:\Program Files (x86)\Windows Kits\8.0\bin\x64</v>
      </c>
      <c r="C29" t="str">
        <f>[1]!GetFile(A29)</f>
        <v>wilangid.vbs</v>
      </c>
      <c r="D29">
        <v>7448</v>
      </c>
      <c r="E29" s="7">
        <v>42377.972962962966</v>
      </c>
      <c r="F29" s="7">
        <v>41477.635092592594</v>
      </c>
      <c r="G29" s="7">
        <v>41477.635092592594</v>
      </c>
    </row>
    <row r="30" spans="1:7" x14ac:dyDescent="0.25">
      <c r="A30" t="s">
        <v>364</v>
      </c>
      <c r="B30" t="str">
        <f>[1]!GetFolder(A30)</f>
        <v>C:\Program Files (x86)\Windows Kits\8.0\bin\x64</v>
      </c>
      <c r="C30" t="str">
        <f>[1]!GetFile(A30)</f>
        <v>wilstprd.vbs</v>
      </c>
      <c r="D30">
        <v>7637</v>
      </c>
      <c r="E30" s="7">
        <v>42377.972962962966</v>
      </c>
      <c r="F30" s="7">
        <v>41477.635092592594</v>
      </c>
      <c r="G30" s="7">
        <v>41477.635092592594</v>
      </c>
    </row>
    <row r="31" spans="1:7" x14ac:dyDescent="0.25">
      <c r="A31" t="s">
        <v>363</v>
      </c>
      <c r="B31" t="str">
        <f>[1]!GetFolder(A31)</f>
        <v>C:\Program Files (x86)\Windows Kits\8.0\bin\x64</v>
      </c>
      <c r="C31" t="str">
        <f>[1]!GetFile(A31)</f>
        <v>wilstscr.vbs</v>
      </c>
      <c r="D31">
        <v>2467</v>
      </c>
      <c r="E31" s="7">
        <v>42377.972962962966</v>
      </c>
      <c r="F31" s="7">
        <v>41477.635092592594</v>
      </c>
      <c r="G31" s="7">
        <v>41477.635092592594</v>
      </c>
    </row>
    <row r="32" spans="1:7" x14ac:dyDescent="0.25">
      <c r="A32" t="s">
        <v>362</v>
      </c>
      <c r="B32" t="str">
        <f>[1]!GetFolder(A32)</f>
        <v>C:\Program Files (x86)\Windows Kits\8.0\bin\x64</v>
      </c>
      <c r="C32" t="str">
        <f>[1]!GetFile(A32)</f>
        <v>wilstxfm.vbs</v>
      </c>
      <c r="D32">
        <v>4178</v>
      </c>
      <c r="E32" s="7">
        <v>42377.972962962966</v>
      </c>
      <c r="F32" s="7">
        <v>41477.635092592594</v>
      </c>
      <c r="G32" s="7">
        <v>41477.635092592594</v>
      </c>
    </row>
    <row r="33" spans="1:7" x14ac:dyDescent="0.25">
      <c r="A33" t="s">
        <v>361</v>
      </c>
      <c r="B33" t="str">
        <f>[1]!GetFolder(A33)</f>
        <v>C:\Program Files (x86)\Windows Kits\8.0\bin\x64</v>
      </c>
      <c r="C33" t="str">
        <f>[1]!GetFile(A33)</f>
        <v>wimakcab.vbs</v>
      </c>
      <c r="D33">
        <v>12573</v>
      </c>
      <c r="E33" s="7">
        <v>42377.972962962966</v>
      </c>
      <c r="F33" s="7">
        <v>41477.635092592594</v>
      </c>
      <c r="G33" s="7">
        <v>41477.635092592594</v>
      </c>
    </row>
    <row r="34" spans="1:7" x14ac:dyDescent="0.25">
      <c r="A34" t="s">
        <v>360</v>
      </c>
      <c r="B34" t="str">
        <f>[1]!GetFolder(A34)</f>
        <v>C:\Program Files (x86)\Windows Kits\8.0\bin\x64</v>
      </c>
      <c r="C34" t="str">
        <f>[1]!GetFile(A34)</f>
        <v>wimerge.vbs</v>
      </c>
      <c r="D34">
        <v>3098</v>
      </c>
      <c r="E34" s="7">
        <v>42377.972962962966</v>
      </c>
      <c r="F34" s="7">
        <v>41477.635092592594</v>
      </c>
      <c r="G34" s="7">
        <v>41477.635092592594</v>
      </c>
    </row>
    <row r="35" spans="1:7" x14ac:dyDescent="0.25">
      <c r="A35" t="s">
        <v>359</v>
      </c>
      <c r="B35" t="str">
        <f>[1]!GetFolder(A35)</f>
        <v>C:\Program Files (x86)\Windows Kits\8.0\bin\x64</v>
      </c>
      <c r="C35" t="str">
        <f>[1]!GetFile(A35)</f>
        <v>wipolicy.vbs</v>
      </c>
      <c r="D35">
        <v>8505</v>
      </c>
      <c r="E35" s="7">
        <v>42377.972962962966</v>
      </c>
      <c r="F35" s="7">
        <v>41477.635092592594</v>
      </c>
      <c r="G35" s="7">
        <v>41477.635092592594</v>
      </c>
    </row>
    <row r="36" spans="1:7" x14ac:dyDescent="0.25">
      <c r="A36" t="s">
        <v>358</v>
      </c>
      <c r="B36" t="str">
        <f>[1]!GetFolder(A36)</f>
        <v>C:\Program Files (x86)\Windows Kits\8.0\bin\x64</v>
      </c>
      <c r="C36" t="str">
        <f>[1]!GetFile(A36)</f>
        <v>wirunsql.vbs</v>
      </c>
      <c r="D36">
        <v>3125</v>
      </c>
      <c r="E36" s="7">
        <v>42377.972962962966</v>
      </c>
      <c r="F36" s="7">
        <v>41477.635092592594</v>
      </c>
      <c r="G36" s="7">
        <v>41477.635092592594</v>
      </c>
    </row>
    <row r="37" spans="1:7" x14ac:dyDescent="0.25">
      <c r="A37" t="s">
        <v>357</v>
      </c>
      <c r="B37" t="str">
        <f>[1]!GetFolder(A37)</f>
        <v>C:\Program Files (x86)\Windows Kits\8.0\bin\x64</v>
      </c>
      <c r="C37" t="str">
        <f>[1]!GetFile(A37)</f>
        <v>wistream.vbs</v>
      </c>
      <c r="D37">
        <v>4813</v>
      </c>
      <c r="E37" s="7">
        <v>42377.972962962966</v>
      </c>
      <c r="F37" s="7">
        <v>41477.635092592594</v>
      </c>
      <c r="G37" s="7">
        <v>41477.635092592594</v>
      </c>
    </row>
    <row r="38" spans="1:7" x14ac:dyDescent="0.25">
      <c r="A38" t="s">
        <v>356</v>
      </c>
      <c r="B38" t="str">
        <f>[1]!GetFolder(A38)</f>
        <v>C:\Program Files (x86)\Windows Kits\8.0\bin\x64</v>
      </c>
      <c r="C38" t="str">
        <f>[1]!GetFile(A38)</f>
        <v>wisubstg.vbs</v>
      </c>
      <c r="D38">
        <v>4605</v>
      </c>
      <c r="E38" s="7">
        <v>42377.972962962966</v>
      </c>
      <c r="F38" s="7">
        <v>41477.635092592594</v>
      </c>
      <c r="G38" s="7">
        <v>41477.635092592594</v>
      </c>
    </row>
    <row r="39" spans="1:7" x14ac:dyDescent="0.25">
      <c r="A39" t="s">
        <v>355</v>
      </c>
      <c r="B39" t="str">
        <f>[1]!GetFolder(A39)</f>
        <v>C:\Program Files (x86)\Windows Kits\8.0\bin\x64</v>
      </c>
      <c r="C39" t="str">
        <f>[1]!GetFile(A39)</f>
        <v>wisuminf.vbs</v>
      </c>
      <c r="D39">
        <v>6401</v>
      </c>
      <c r="E39" s="7">
        <v>42377.972962962966</v>
      </c>
      <c r="F39" s="7">
        <v>41477.635092592594</v>
      </c>
      <c r="G39" s="7">
        <v>41477.635092592594</v>
      </c>
    </row>
    <row r="40" spans="1:7" x14ac:dyDescent="0.25">
      <c r="A40" t="s">
        <v>354</v>
      </c>
      <c r="B40" t="str">
        <f>[1]!GetFolder(A40)</f>
        <v>C:\Program Files (x86)\Windows Kits\8.0\bin\x64</v>
      </c>
      <c r="C40" t="str">
        <f>[1]!GetFile(A40)</f>
        <v>witextin.vbs</v>
      </c>
      <c r="D40">
        <v>3808</v>
      </c>
      <c r="E40" s="7">
        <v>42377.972962962966</v>
      </c>
      <c r="F40" s="7">
        <v>41477.635092592594</v>
      </c>
      <c r="G40" s="7">
        <v>41477.635092592594</v>
      </c>
    </row>
    <row r="41" spans="1:7" x14ac:dyDescent="0.25">
      <c r="A41" t="s">
        <v>353</v>
      </c>
      <c r="B41" t="str">
        <f>[1]!GetFolder(A41)</f>
        <v>C:\Program Files (x86)\Windows Kits\8.0\bin\x64</v>
      </c>
      <c r="C41" t="str">
        <f>[1]!GetFile(A41)</f>
        <v>witoansi.vbs</v>
      </c>
      <c r="D41">
        <v>1989</v>
      </c>
      <c r="E41" s="7">
        <v>42377.972962962966</v>
      </c>
      <c r="F41" s="7">
        <v>41477.635092592594</v>
      </c>
      <c r="G41" s="7">
        <v>41477.635092592594</v>
      </c>
    </row>
    <row r="42" spans="1:7" x14ac:dyDescent="0.25">
      <c r="A42" t="s">
        <v>352</v>
      </c>
      <c r="B42" t="str">
        <f>[1]!GetFolder(A42)</f>
        <v>C:\Program Files (x86)\Windows Kits\8.0\bin\x64</v>
      </c>
      <c r="C42" t="str">
        <f>[1]!GetFile(A42)</f>
        <v>wiusexfm.vbs</v>
      </c>
      <c r="D42">
        <v>2822</v>
      </c>
      <c r="E42" s="7">
        <v>42377.972962962966</v>
      </c>
      <c r="F42" s="7">
        <v>41477.635092592594</v>
      </c>
      <c r="G42" s="7">
        <v>41477.635092592594</v>
      </c>
    </row>
    <row r="43" spans="1:7" x14ac:dyDescent="0.25">
      <c r="A43" t="s">
        <v>351</v>
      </c>
      <c r="B43" t="str">
        <f>[1]!GetFolder(A43)</f>
        <v>C:\Program Files (x86)\Windows Kits\8.0\bin\x86</v>
      </c>
      <c r="C43" t="str">
        <f>[1]!GetFile(A43)</f>
        <v>register_app.vbs</v>
      </c>
      <c r="D43">
        <v>10946</v>
      </c>
      <c r="E43" s="7">
        <v>42377.973055555558</v>
      </c>
      <c r="F43" s="7">
        <v>41096.555879629632</v>
      </c>
      <c r="G43" s="7">
        <v>41096.555879629632</v>
      </c>
    </row>
    <row r="44" spans="1:7" x14ac:dyDescent="0.25">
      <c r="A44" t="s">
        <v>350</v>
      </c>
      <c r="B44" t="str">
        <f>[1]!GetFolder(A44)</f>
        <v>C:\Program Files (x86)\Windows Kits\8.0\bin\x86</v>
      </c>
      <c r="C44" t="str">
        <f>[1]!GetFile(A44)</f>
        <v>WiCompon.vbs</v>
      </c>
      <c r="D44">
        <v>8705</v>
      </c>
      <c r="E44" s="7">
        <v>42377.973067129627</v>
      </c>
      <c r="F44" s="7">
        <v>41096.536782407406</v>
      </c>
      <c r="G44" s="7">
        <v>41096.536782407406</v>
      </c>
    </row>
    <row r="45" spans="1:7" x14ac:dyDescent="0.25">
      <c r="A45" t="s">
        <v>349</v>
      </c>
      <c r="B45" t="str">
        <f>[1]!GetFolder(A45)</f>
        <v>C:\Program Files (x86)\Windows Kits\8.0\bin\x86</v>
      </c>
      <c r="C45" t="str">
        <f>[1]!GetFile(A45)</f>
        <v>widialog.vbs</v>
      </c>
      <c r="D45">
        <v>4252</v>
      </c>
      <c r="E45" s="7">
        <v>42377.973067129627</v>
      </c>
      <c r="F45" s="7">
        <v>41096.536782407406</v>
      </c>
      <c r="G45" s="7">
        <v>41096.536782407406</v>
      </c>
    </row>
    <row r="46" spans="1:7" x14ac:dyDescent="0.25">
      <c r="A46" t="s">
        <v>348</v>
      </c>
      <c r="B46" t="str">
        <f>[1]!GetFolder(A46)</f>
        <v>C:\Program Files (x86)\Windows Kits\8.0\bin\x86</v>
      </c>
      <c r="C46" t="str">
        <f>[1]!GetFile(A46)</f>
        <v>widiffdb.vbs</v>
      </c>
      <c r="D46">
        <v>4832</v>
      </c>
      <c r="E46" s="7">
        <v>42377.973067129627</v>
      </c>
      <c r="F46" s="7">
        <v>41096.536782407406</v>
      </c>
      <c r="G46" s="7">
        <v>41096.536782407406</v>
      </c>
    </row>
    <row r="47" spans="1:7" x14ac:dyDescent="0.25">
      <c r="A47" t="s">
        <v>347</v>
      </c>
      <c r="B47" t="str">
        <f>[1]!GetFolder(A47)</f>
        <v>C:\Program Files (x86)\Windows Kits\8.0\bin\x86</v>
      </c>
      <c r="C47" t="str">
        <f>[1]!GetFile(A47)</f>
        <v>wiexport.vbs</v>
      </c>
      <c r="D47">
        <v>2837</v>
      </c>
      <c r="E47" s="7">
        <v>42377.973067129627</v>
      </c>
      <c r="F47" s="7">
        <v>41096.536782407406</v>
      </c>
      <c r="G47" s="7">
        <v>41096.536782407406</v>
      </c>
    </row>
    <row r="48" spans="1:7" x14ac:dyDescent="0.25">
      <c r="A48" t="s">
        <v>346</v>
      </c>
      <c r="B48" t="str">
        <f>[1]!GetFolder(A48)</f>
        <v>C:\Program Files (x86)\Windows Kits\8.0\bin\x86</v>
      </c>
      <c r="C48" t="str">
        <f>[1]!GetFile(A48)</f>
        <v>wifeatur.vbs</v>
      </c>
      <c r="D48">
        <v>8232</v>
      </c>
      <c r="E48" s="7">
        <v>42377.973067129627</v>
      </c>
      <c r="F48" s="7">
        <v>41096.536782407406</v>
      </c>
      <c r="G48" s="7">
        <v>41096.536782407406</v>
      </c>
    </row>
    <row r="49" spans="1:7" x14ac:dyDescent="0.25">
      <c r="A49" t="s">
        <v>345</v>
      </c>
      <c r="B49" t="str">
        <f>[1]!GetFolder(A49)</f>
        <v>C:\Program Files (x86)\Windows Kits\8.0\bin\x86</v>
      </c>
      <c r="C49" t="str">
        <f>[1]!GetFile(A49)</f>
        <v>wifilver.vbs</v>
      </c>
      <c r="D49">
        <v>10967</v>
      </c>
      <c r="E49" s="7">
        <v>42377.973067129627</v>
      </c>
      <c r="F49" s="7">
        <v>41096.536782407406</v>
      </c>
      <c r="G49" s="7">
        <v>41096.536782407406</v>
      </c>
    </row>
    <row r="50" spans="1:7" x14ac:dyDescent="0.25">
      <c r="A50" t="s">
        <v>344</v>
      </c>
      <c r="B50" t="str">
        <f>[1]!GetFolder(A50)</f>
        <v>C:\Program Files (x86)\Windows Kits\8.0\bin\x86</v>
      </c>
      <c r="C50" t="str">
        <f>[1]!GetFile(A50)</f>
        <v>wigenxfm.vbs</v>
      </c>
      <c r="D50">
        <v>2186</v>
      </c>
      <c r="E50" s="7">
        <v>42377.973067129627</v>
      </c>
      <c r="F50" s="7">
        <v>41096.536782407406</v>
      </c>
      <c r="G50" s="7">
        <v>41096.536782407406</v>
      </c>
    </row>
    <row r="51" spans="1:7" x14ac:dyDescent="0.25">
      <c r="A51" t="s">
        <v>343</v>
      </c>
      <c r="B51" t="str">
        <f>[1]!GetFolder(A51)</f>
        <v>C:\Program Files (x86)\Windows Kits\8.0\bin\x86</v>
      </c>
      <c r="C51" t="str">
        <f>[1]!GetFile(A51)</f>
        <v>wiimport.vbs</v>
      </c>
      <c r="D51">
        <v>3472</v>
      </c>
      <c r="E51" s="7">
        <v>42377.973067129627</v>
      </c>
      <c r="F51" s="7">
        <v>41096.536782407406</v>
      </c>
      <c r="G51" s="7">
        <v>41096.536782407406</v>
      </c>
    </row>
    <row r="52" spans="1:7" x14ac:dyDescent="0.25">
      <c r="A52" t="s">
        <v>342</v>
      </c>
      <c r="B52" t="str">
        <f>[1]!GetFolder(A52)</f>
        <v>C:\Program Files (x86)\Windows Kits\8.0\bin\x86</v>
      </c>
      <c r="C52" t="str">
        <f>[1]!GetFile(A52)</f>
        <v>wilangid.vbs</v>
      </c>
      <c r="D52">
        <v>7448</v>
      </c>
      <c r="E52" s="7">
        <v>42377.973067129627</v>
      </c>
      <c r="F52" s="7">
        <v>41096.536782407406</v>
      </c>
      <c r="G52" s="7">
        <v>41096.536782407406</v>
      </c>
    </row>
    <row r="53" spans="1:7" x14ac:dyDescent="0.25">
      <c r="A53" t="s">
        <v>341</v>
      </c>
      <c r="B53" t="str">
        <f>[1]!GetFolder(A53)</f>
        <v>C:\Program Files (x86)\Windows Kits\8.0\bin\x86</v>
      </c>
      <c r="C53" t="str">
        <f>[1]!GetFile(A53)</f>
        <v>wilstprd.vbs</v>
      </c>
      <c r="D53">
        <v>7637</v>
      </c>
      <c r="E53" s="7">
        <v>42377.973067129627</v>
      </c>
      <c r="F53" s="7">
        <v>41096.536782407406</v>
      </c>
      <c r="G53" s="7">
        <v>41096.536782407406</v>
      </c>
    </row>
    <row r="54" spans="1:7" x14ac:dyDescent="0.25">
      <c r="A54" t="s">
        <v>340</v>
      </c>
      <c r="B54" t="str">
        <f>[1]!GetFolder(A54)</f>
        <v>C:\Program Files (x86)\Windows Kits\8.0\bin\x86</v>
      </c>
      <c r="C54" t="str">
        <f>[1]!GetFile(A54)</f>
        <v>wilstscr.vbs</v>
      </c>
      <c r="D54">
        <v>2467</v>
      </c>
      <c r="E54" s="7">
        <v>42377.973067129627</v>
      </c>
      <c r="F54" s="7">
        <v>41096.536782407406</v>
      </c>
      <c r="G54" s="7">
        <v>41096.536782407406</v>
      </c>
    </row>
    <row r="55" spans="1:7" x14ac:dyDescent="0.25">
      <c r="A55" t="s">
        <v>339</v>
      </c>
      <c r="B55" t="str">
        <f>[1]!GetFolder(A55)</f>
        <v>C:\Program Files (x86)\Windows Kits\8.0\bin\x86</v>
      </c>
      <c r="C55" t="str">
        <f>[1]!GetFile(A55)</f>
        <v>wilstxfm.vbs</v>
      </c>
      <c r="D55">
        <v>4178</v>
      </c>
      <c r="E55" s="7">
        <v>42377.973067129627</v>
      </c>
      <c r="F55" s="7">
        <v>41096.536782407406</v>
      </c>
      <c r="G55" s="7">
        <v>41096.536782407406</v>
      </c>
    </row>
    <row r="56" spans="1:7" x14ac:dyDescent="0.25">
      <c r="A56" t="s">
        <v>338</v>
      </c>
      <c r="B56" t="str">
        <f>[1]!GetFolder(A56)</f>
        <v>C:\Program Files (x86)\Windows Kits\8.0\bin\x86</v>
      </c>
      <c r="C56" t="str">
        <f>[1]!GetFile(A56)</f>
        <v>wimakcab.vbs</v>
      </c>
      <c r="D56">
        <v>12573</v>
      </c>
      <c r="E56" s="7">
        <v>42377.973067129627</v>
      </c>
      <c r="F56" s="7">
        <v>41096.536782407406</v>
      </c>
      <c r="G56" s="7">
        <v>41096.536782407406</v>
      </c>
    </row>
    <row r="57" spans="1:7" x14ac:dyDescent="0.25">
      <c r="A57" t="s">
        <v>337</v>
      </c>
      <c r="B57" t="str">
        <f>[1]!GetFolder(A57)</f>
        <v>C:\Program Files (x86)\Windows Kits\8.0\bin\x86</v>
      </c>
      <c r="C57" t="str">
        <f>[1]!GetFile(A57)</f>
        <v>wimerge.vbs</v>
      </c>
      <c r="D57">
        <v>3098</v>
      </c>
      <c r="E57" s="7">
        <v>42377.973067129627</v>
      </c>
      <c r="F57" s="7">
        <v>41096.536782407406</v>
      </c>
      <c r="G57" s="7">
        <v>41096.536782407406</v>
      </c>
    </row>
    <row r="58" spans="1:7" x14ac:dyDescent="0.25">
      <c r="A58" t="s">
        <v>336</v>
      </c>
      <c r="B58" t="str">
        <f>[1]!GetFolder(A58)</f>
        <v>C:\Program Files (x86)\Windows Kits\8.0\bin\x86</v>
      </c>
      <c r="C58" t="str">
        <f>[1]!GetFile(A58)</f>
        <v>wipolicy.vbs</v>
      </c>
      <c r="D58">
        <v>8505</v>
      </c>
      <c r="E58" s="7">
        <v>42377.973067129627</v>
      </c>
      <c r="F58" s="7">
        <v>41096.536782407406</v>
      </c>
      <c r="G58" s="7">
        <v>41096.536782407406</v>
      </c>
    </row>
    <row r="59" spans="1:7" x14ac:dyDescent="0.25">
      <c r="A59" t="s">
        <v>335</v>
      </c>
      <c r="B59" t="str">
        <f>[1]!GetFolder(A59)</f>
        <v>C:\Program Files (x86)\Windows Kits\8.0\bin\x86</v>
      </c>
      <c r="C59" t="str">
        <f>[1]!GetFile(A59)</f>
        <v>wirunsql.vbs</v>
      </c>
      <c r="D59">
        <v>3125</v>
      </c>
      <c r="E59" s="7">
        <v>42377.973067129627</v>
      </c>
      <c r="F59" s="7">
        <v>41096.536782407406</v>
      </c>
      <c r="G59" s="7">
        <v>41096.536782407406</v>
      </c>
    </row>
    <row r="60" spans="1:7" x14ac:dyDescent="0.25">
      <c r="A60" t="s">
        <v>334</v>
      </c>
      <c r="B60" t="str">
        <f>[1]!GetFolder(A60)</f>
        <v>C:\Program Files (x86)\Windows Kits\8.0\bin\x86</v>
      </c>
      <c r="C60" t="str">
        <f>[1]!GetFile(A60)</f>
        <v>wistream.vbs</v>
      </c>
      <c r="D60">
        <v>4813</v>
      </c>
      <c r="E60" s="7">
        <v>42377.973067129627</v>
      </c>
      <c r="F60" s="7">
        <v>41096.536782407406</v>
      </c>
      <c r="G60" s="7">
        <v>41096.536782407406</v>
      </c>
    </row>
    <row r="61" spans="1:7" x14ac:dyDescent="0.25">
      <c r="A61" t="s">
        <v>333</v>
      </c>
      <c r="B61" t="str">
        <f>[1]!GetFolder(A61)</f>
        <v>C:\Program Files (x86)\Windows Kits\8.0\bin\x86</v>
      </c>
      <c r="C61" t="str">
        <f>[1]!GetFile(A61)</f>
        <v>wisubstg.vbs</v>
      </c>
      <c r="D61">
        <v>4605</v>
      </c>
      <c r="E61" s="7">
        <v>42377.973067129627</v>
      </c>
      <c r="F61" s="7">
        <v>41096.536782407406</v>
      </c>
      <c r="G61" s="7">
        <v>41096.536782407406</v>
      </c>
    </row>
    <row r="62" spans="1:7" x14ac:dyDescent="0.25">
      <c r="A62" t="s">
        <v>332</v>
      </c>
      <c r="B62" t="str">
        <f>[1]!GetFolder(A62)</f>
        <v>C:\Program Files (x86)\Windows Kits\8.0\bin\x86</v>
      </c>
      <c r="C62" t="str">
        <f>[1]!GetFile(A62)</f>
        <v>wisuminf.vbs</v>
      </c>
      <c r="D62">
        <v>6401</v>
      </c>
      <c r="E62" s="7">
        <v>42377.973067129627</v>
      </c>
      <c r="F62" s="7">
        <v>41096.536782407406</v>
      </c>
      <c r="G62" s="7">
        <v>41096.536782407406</v>
      </c>
    </row>
    <row r="63" spans="1:7" x14ac:dyDescent="0.25">
      <c r="A63" t="s">
        <v>331</v>
      </c>
      <c r="B63" t="str">
        <f>[1]!GetFolder(A63)</f>
        <v>C:\Program Files (x86)\Windows Kits\8.0\bin\x86</v>
      </c>
      <c r="C63" t="str">
        <f>[1]!GetFile(A63)</f>
        <v>witextin.vbs</v>
      </c>
      <c r="D63">
        <v>3808</v>
      </c>
      <c r="E63" s="7">
        <v>42377.973067129627</v>
      </c>
      <c r="F63" s="7">
        <v>41096.536782407406</v>
      </c>
      <c r="G63" s="7">
        <v>41096.536782407406</v>
      </c>
    </row>
    <row r="64" spans="1:7" x14ac:dyDescent="0.25">
      <c r="A64" t="s">
        <v>330</v>
      </c>
      <c r="B64" t="str">
        <f>[1]!GetFolder(A64)</f>
        <v>C:\Program Files (x86)\Windows Kits\8.0\bin\x86</v>
      </c>
      <c r="C64" t="str">
        <f>[1]!GetFile(A64)</f>
        <v>witoansi.vbs</v>
      </c>
      <c r="D64">
        <v>1989</v>
      </c>
      <c r="E64" s="7">
        <v>42377.973067129627</v>
      </c>
      <c r="F64" s="7">
        <v>41096.536782407406</v>
      </c>
      <c r="G64" s="7">
        <v>41096.536782407406</v>
      </c>
    </row>
    <row r="65" spans="1:7" x14ac:dyDescent="0.25">
      <c r="A65" t="s">
        <v>329</v>
      </c>
      <c r="B65" t="str">
        <f>[1]!GetFolder(A65)</f>
        <v>C:\Program Files (x86)\Windows Kits\8.0\bin\x86</v>
      </c>
      <c r="C65" t="str">
        <f>[1]!GetFile(A65)</f>
        <v>wiusexfm.vbs</v>
      </c>
      <c r="D65">
        <v>2822</v>
      </c>
      <c r="E65" s="7">
        <v>42377.973067129627</v>
      </c>
      <c r="F65" s="7">
        <v>41096.536782407406</v>
      </c>
      <c r="G65" s="7">
        <v>41096.536782407406</v>
      </c>
    </row>
    <row r="66" spans="1:7" x14ac:dyDescent="0.25">
      <c r="A66" t="s">
        <v>328</v>
      </c>
      <c r="B66" t="str">
        <f>[1]!GetFolder(A66)</f>
        <v>C:\Program Files (x86)\Windows Kits\8.1\bin\x64</v>
      </c>
      <c r="C66" t="str">
        <f>[1]!GetFile(A66)</f>
        <v>register_app.vbs</v>
      </c>
      <c r="D66">
        <v>10946</v>
      </c>
      <c r="E66" s="7">
        <v>42377.974490740744</v>
      </c>
      <c r="F66" s="7">
        <v>41443.35597222222</v>
      </c>
      <c r="G66" s="7">
        <v>41443.35597222222</v>
      </c>
    </row>
    <row r="67" spans="1:7" x14ac:dyDescent="0.25">
      <c r="A67" t="s">
        <v>327</v>
      </c>
      <c r="B67" t="str">
        <f>[1]!GetFolder(A67)</f>
        <v>C:\Program Files (x86)\Windows Kits\8.1\bin\x64</v>
      </c>
      <c r="C67" t="str">
        <f>[1]!GetFile(A67)</f>
        <v>WiCompon.vbs</v>
      </c>
      <c r="D67">
        <v>8705</v>
      </c>
      <c r="E67" s="7">
        <v>42377.974502314813</v>
      </c>
      <c r="F67" s="7">
        <v>41443.325601851851</v>
      </c>
      <c r="G67" s="7">
        <v>41443.325601851851</v>
      </c>
    </row>
    <row r="68" spans="1:7" x14ac:dyDescent="0.25">
      <c r="A68" t="s">
        <v>326</v>
      </c>
      <c r="B68" t="str">
        <f>[1]!GetFolder(A68)</f>
        <v>C:\Program Files (x86)\Windows Kits\8.1\bin\x64</v>
      </c>
      <c r="C68" t="str">
        <f>[1]!GetFile(A68)</f>
        <v>widialog.vbs</v>
      </c>
      <c r="D68">
        <v>4252</v>
      </c>
      <c r="E68" s="7">
        <v>42377.974502314813</v>
      </c>
      <c r="F68" s="7">
        <v>41443.325601851851</v>
      </c>
      <c r="G68" s="7">
        <v>41443.325601851851</v>
      </c>
    </row>
    <row r="69" spans="1:7" x14ac:dyDescent="0.25">
      <c r="A69" t="s">
        <v>325</v>
      </c>
      <c r="B69" t="str">
        <f>[1]!GetFolder(A69)</f>
        <v>C:\Program Files (x86)\Windows Kits\8.1\bin\x64</v>
      </c>
      <c r="C69" t="str">
        <f>[1]!GetFile(A69)</f>
        <v>widiffdb.vbs</v>
      </c>
      <c r="D69">
        <v>4832</v>
      </c>
      <c r="E69" s="7">
        <v>42377.974502314813</v>
      </c>
      <c r="F69" s="7">
        <v>41443.325601851851</v>
      </c>
      <c r="G69" s="7">
        <v>41443.325601851851</v>
      </c>
    </row>
    <row r="70" spans="1:7" x14ac:dyDescent="0.25">
      <c r="A70" t="s">
        <v>324</v>
      </c>
      <c r="B70" t="str">
        <f>[1]!GetFolder(A70)</f>
        <v>C:\Program Files (x86)\Windows Kits\8.1\bin\x64</v>
      </c>
      <c r="C70" t="str">
        <f>[1]!GetFile(A70)</f>
        <v>wiexport.vbs</v>
      </c>
      <c r="D70">
        <v>2837</v>
      </c>
      <c r="E70" s="7">
        <v>42377.974502314813</v>
      </c>
      <c r="F70" s="7">
        <v>41443.325601851851</v>
      </c>
      <c r="G70" s="7">
        <v>41443.325601851851</v>
      </c>
    </row>
    <row r="71" spans="1:7" x14ac:dyDescent="0.25">
      <c r="A71" t="s">
        <v>323</v>
      </c>
      <c r="B71" t="str">
        <f>[1]!GetFolder(A71)</f>
        <v>C:\Program Files (x86)\Windows Kits\8.1\bin\x64</v>
      </c>
      <c r="C71" t="str">
        <f>[1]!GetFile(A71)</f>
        <v>wifeatur.vbs</v>
      </c>
      <c r="D71">
        <v>8232</v>
      </c>
      <c r="E71" s="7">
        <v>42377.974502314813</v>
      </c>
      <c r="F71" s="7">
        <v>41443.325601851851</v>
      </c>
      <c r="G71" s="7">
        <v>41443.325601851851</v>
      </c>
    </row>
    <row r="72" spans="1:7" x14ac:dyDescent="0.25">
      <c r="A72" t="s">
        <v>322</v>
      </c>
      <c r="B72" t="str">
        <f>[1]!GetFolder(A72)</f>
        <v>C:\Program Files (x86)\Windows Kits\8.1\bin\x64</v>
      </c>
      <c r="C72" t="str">
        <f>[1]!GetFile(A72)</f>
        <v>wifilver.vbs</v>
      </c>
      <c r="D72">
        <v>10967</v>
      </c>
      <c r="E72" s="7">
        <v>42377.974502314813</v>
      </c>
      <c r="F72" s="7">
        <v>41443.325601851851</v>
      </c>
      <c r="G72" s="7">
        <v>41443.325601851851</v>
      </c>
    </row>
    <row r="73" spans="1:7" x14ac:dyDescent="0.25">
      <c r="A73" t="s">
        <v>321</v>
      </c>
      <c r="B73" t="str">
        <f>[1]!GetFolder(A73)</f>
        <v>C:\Program Files (x86)\Windows Kits\8.1\bin\x64</v>
      </c>
      <c r="C73" t="str">
        <f>[1]!GetFile(A73)</f>
        <v>wigenxfm.vbs</v>
      </c>
      <c r="D73">
        <v>2186</v>
      </c>
      <c r="E73" s="7">
        <v>42377.974502314813</v>
      </c>
      <c r="F73" s="7">
        <v>41443.325601851851</v>
      </c>
      <c r="G73" s="7">
        <v>41443.325601851851</v>
      </c>
    </row>
    <row r="74" spans="1:7" x14ac:dyDescent="0.25">
      <c r="A74" t="s">
        <v>320</v>
      </c>
      <c r="B74" t="str">
        <f>[1]!GetFolder(A74)</f>
        <v>C:\Program Files (x86)\Windows Kits\8.1\bin\x64</v>
      </c>
      <c r="C74" t="str">
        <f>[1]!GetFile(A74)</f>
        <v>wiimport.vbs</v>
      </c>
      <c r="D74">
        <v>3472</v>
      </c>
      <c r="E74" s="7">
        <v>42377.974502314813</v>
      </c>
      <c r="F74" s="7">
        <v>41443.325601851851</v>
      </c>
      <c r="G74" s="7">
        <v>41443.325601851851</v>
      </c>
    </row>
    <row r="75" spans="1:7" x14ac:dyDescent="0.25">
      <c r="A75" t="s">
        <v>319</v>
      </c>
      <c r="B75" t="str">
        <f>[1]!GetFolder(A75)</f>
        <v>C:\Program Files (x86)\Windows Kits\8.1\bin\x64</v>
      </c>
      <c r="C75" t="str">
        <f>[1]!GetFile(A75)</f>
        <v>wilangid.vbs</v>
      </c>
      <c r="D75">
        <v>7448</v>
      </c>
      <c r="E75" s="7">
        <v>42377.974502314813</v>
      </c>
      <c r="F75" s="7">
        <v>41443.325601851851</v>
      </c>
      <c r="G75" s="7">
        <v>41443.325601851851</v>
      </c>
    </row>
    <row r="76" spans="1:7" x14ac:dyDescent="0.25">
      <c r="A76" t="s">
        <v>318</v>
      </c>
      <c r="B76" t="str">
        <f>[1]!GetFolder(A76)</f>
        <v>C:\Program Files (x86)\Windows Kits\8.1\bin\x64</v>
      </c>
      <c r="C76" t="str">
        <f>[1]!GetFile(A76)</f>
        <v>wilstprd.vbs</v>
      </c>
      <c r="D76">
        <v>7637</v>
      </c>
      <c r="E76" s="7">
        <v>42377.974502314813</v>
      </c>
      <c r="F76" s="7">
        <v>41443.325601851851</v>
      </c>
      <c r="G76" s="7">
        <v>41443.325601851851</v>
      </c>
    </row>
    <row r="77" spans="1:7" x14ac:dyDescent="0.25">
      <c r="A77" t="s">
        <v>317</v>
      </c>
      <c r="B77" t="str">
        <f>[1]!GetFolder(A77)</f>
        <v>C:\Program Files (x86)\Windows Kits\8.1\bin\x64</v>
      </c>
      <c r="C77" t="str">
        <f>[1]!GetFile(A77)</f>
        <v>wilstscr.vbs</v>
      </c>
      <c r="D77">
        <v>2467</v>
      </c>
      <c r="E77" s="7">
        <v>42377.974502314813</v>
      </c>
      <c r="F77" s="7">
        <v>41443.325601851851</v>
      </c>
      <c r="G77" s="7">
        <v>41443.325601851851</v>
      </c>
    </row>
    <row r="78" spans="1:7" x14ac:dyDescent="0.25">
      <c r="A78" t="s">
        <v>316</v>
      </c>
      <c r="B78" t="str">
        <f>[1]!GetFolder(A78)</f>
        <v>C:\Program Files (x86)\Windows Kits\8.1\bin\x64</v>
      </c>
      <c r="C78" t="str">
        <f>[1]!GetFile(A78)</f>
        <v>wilstxfm.vbs</v>
      </c>
      <c r="D78">
        <v>4178</v>
      </c>
      <c r="E78" s="7">
        <v>42377.974502314813</v>
      </c>
      <c r="F78" s="7">
        <v>41443.325601851851</v>
      </c>
      <c r="G78" s="7">
        <v>41443.325601851851</v>
      </c>
    </row>
    <row r="79" spans="1:7" x14ac:dyDescent="0.25">
      <c r="A79" t="s">
        <v>315</v>
      </c>
      <c r="B79" t="str">
        <f>[1]!GetFolder(A79)</f>
        <v>C:\Program Files (x86)\Windows Kits\8.1\bin\x64</v>
      </c>
      <c r="C79" t="str">
        <f>[1]!GetFile(A79)</f>
        <v>wimakcab.vbs</v>
      </c>
      <c r="D79">
        <v>12573</v>
      </c>
      <c r="E79" s="7">
        <v>42377.974502314813</v>
      </c>
      <c r="F79" s="7">
        <v>41443.325601851851</v>
      </c>
      <c r="G79" s="7">
        <v>41443.325601851851</v>
      </c>
    </row>
    <row r="80" spans="1:7" x14ac:dyDescent="0.25">
      <c r="A80" t="s">
        <v>314</v>
      </c>
      <c r="B80" t="str">
        <f>[1]!GetFolder(A80)</f>
        <v>C:\Program Files (x86)\Windows Kits\8.1\bin\x64</v>
      </c>
      <c r="C80" t="str">
        <f>[1]!GetFile(A80)</f>
        <v>wimerge.vbs</v>
      </c>
      <c r="D80">
        <v>3098</v>
      </c>
      <c r="E80" s="7">
        <v>42377.974502314813</v>
      </c>
      <c r="F80" s="7">
        <v>41443.325601851851</v>
      </c>
      <c r="G80" s="7">
        <v>41443.325601851851</v>
      </c>
    </row>
    <row r="81" spans="1:7" x14ac:dyDescent="0.25">
      <c r="A81" t="s">
        <v>313</v>
      </c>
      <c r="B81" t="str">
        <f>[1]!GetFolder(A81)</f>
        <v>C:\Program Files (x86)\Windows Kits\8.1\bin\x64</v>
      </c>
      <c r="C81" t="str">
        <f>[1]!GetFile(A81)</f>
        <v>wipolicy.vbs</v>
      </c>
      <c r="D81">
        <v>8505</v>
      </c>
      <c r="E81" s="7">
        <v>42377.974502314813</v>
      </c>
      <c r="F81" s="7">
        <v>41443.325601851851</v>
      </c>
      <c r="G81" s="7">
        <v>41443.325601851851</v>
      </c>
    </row>
    <row r="82" spans="1:7" x14ac:dyDescent="0.25">
      <c r="A82" t="s">
        <v>312</v>
      </c>
      <c r="B82" t="str">
        <f>[1]!GetFolder(A82)</f>
        <v>C:\Program Files (x86)\Windows Kits\8.1\bin\x64</v>
      </c>
      <c r="C82" t="str">
        <f>[1]!GetFile(A82)</f>
        <v>wirunsql.vbs</v>
      </c>
      <c r="D82">
        <v>3125</v>
      </c>
      <c r="E82" s="7">
        <v>42377.974502314813</v>
      </c>
      <c r="F82" s="7">
        <v>41443.325601851851</v>
      </c>
      <c r="G82" s="7">
        <v>41443.325601851851</v>
      </c>
    </row>
    <row r="83" spans="1:7" x14ac:dyDescent="0.25">
      <c r="A83" t="s">
        <v>311</v>
      </c>
      <c r="B83" t="str">
        <f>[1]!GetFolder(A83)</f>
        <v>C:\Program Files (x86)\Windows Kits\8.1\bin\x64</v>
      </c>
      <c r="C83" t="str">
        <f>[1]!GetFile(A83)</f>
        <v>wistream.vbs</v>
      </c>
      <c r="D83">
        <v>4813</v>
      </c>
      <c r="E83" s="7">
        <v>42377.974502314813</v>
      </c>
      <c r="F83" s="7">
        <v>41443.325601851851</v>
      </c>
      <c r="G83" s="7">
        <v>41443.325601851851</v>
      </c>
    </row>
    <row r="84" spans="1:7" x14ac:dyDescent="0.25">
      <c r="A84" t="s">
        <v>310</v>
      </c>
      <c r="B84" t="str">
        <f>[1]!GetFolder(A84)</f>
        <v>C:\Program Files (x86)\Windows Kits\8.1\bin\x64</v>
      </c>
      <c r="C84" t="str">
        <f>[1]!GetFile(A84)</f>
        <v>wisubstg.vbs</v>
      </c>
      <c r="D84">
        <v>4605</v>
      </c>
      <c r="E84" s="7">
        <v>42377.974502314813</v>
      </c>
      <c r="F84" s="7">
        <v>41443.325601851851</v>
      </c>
      <c r="G84" s="7">
        <v>41443.325601851851</v>
      </c>
    </row>
    <row r="85" spans="1:7" x14ac:dyDescent="0.25">
      <c r="A85" t="s">
        <v>309</v>
      </c>
      <c r="B85" t="str">
        <f>[1]!GetFolder(A85)</f>
        <v>C:\Program Files (x86)\Windows Kits\8.1\bin\x64</v>
      </c>
      <c r="C85" t="str">
        <f>[1]!GetFile(A85)</f>
        <v>wisuminf.vbs</v>
      </c>
      <c r="D85">
        <v>6401</v>
      </c>
      <c r="E85" s="7">
        <v>42377.974502314813</v>
      </c>
      <c r="F85" s="7">
        <v>41443.325601851851</v>
      </c>
      <c r="G85" s="7">
        <v>41443.325601851851</v>
      </c>
    </row>
    <row r="86" spans="1:7" x14ac:dyDescent="0.25">
      <c r="A86" t="s">
        <v>308</v>
      </c>
      <c r="B86" t="str">
        <f>[1]!GetFolder(A86)</f>
        <v>C:\Program Files (x86)\Windows Kits\8.1\bin\x64</v>
      </c>
      <c r="C86" t="str">
        <f>[1]!GetFile(A86)</f>
        <v>witextin.vbs</v>
      </c>
      <c r="D86">
        <v>3808</v>
      </c>
      <c r="E86" s="7">
        <v>42377.974502314813</v>
      </c>
      <c r="F86" s="7">
        <v>41443.325601851851</v>
      </c>
      <c r="G86" s="7">
        <v>41443.325601851851</v>
      </c>
    </row>
    <row r="87" spans="1:7" x14ac:dyDescent="0.25">
      <c r="A87" t="s">
        <v>307</v>
      </c>
      <c r="B87" t="str">
        <f>[1]!GetFolder(A87)</f>
        <v>C:\Program Files (x86)\Windows Kits\8.1\bin\x64</v>
      </c>
      <c r="C87" t="str">
        <f>[1]!GetFile(A87)</f>
        <v>witoansi.vbs</v>
      </c>
      <c r="D87">
        <v>1989</v>
      </c>
      <c r="E87" s="7">
        <v>42377.974502314813</v>
      </c>
      <c r="F87" s="7">
        <v>41443.325624999998</v>
      </c>
      <c r="G87" s="7">
        <v>41443.325624999998</v>
      </c>
    </row>
    <row r="88" spans="1:7" x14ac:dyDescent="0.25">
      <c r="A88" t="s">
        <v>306</v>
      </c>
      <c r="B88" t="str">
        <f>[1]!GetFolder(A88)</f>
        <v>C:\Program Files (x86)\Windows Kits\8.1\bin\x64</v>
      </c>
      <c r="C88" t="str">
        <f>[1]!GetFile(A88)</f>
        <v>wiusexfm.vbs</v>
      </c>
      <c r="D88">
        <v>2822</v>
      </c>
      <c r="E88" s="7">
        <v>42377.974502314813</v>
      </c>
      <c r="F88" s="7">
        <v>41443.325624999998</v>
      </c>
      <c r="G88" s="7">
        <v>41443.325624999998</v>
      </c>
    </row>
    <row r="89" spans="1:7" x14ac:dyDescent="0.25">
      <c r="A89" t="s">
        <v>305</v>
      </c>
      <c r="B89" t="str">
        <f>[1]!GetFolder(A89)</f>
        <v>C:\Program Files (x86)\Windows Kits\8.1\bin\x86</v>
      </c>
      <c r="C89" t="str">
        <f>[1]!GetFile(A89)</f>
        <v>register_app.vbs</v>
      </c>
      <c r="D89">
        <v>10946</v>
      </c>
      <c r="E89" s="7">
        <v>42377.97457175926</v>
      </c>
      <c r="F89" s="7">
        <v>41443.256550925929</v>
      </c>
      <c r="G89" s="7">
        <v>41443.256550925929</v>
      </c>
    </row>
    <row r="90" spans="1:7" x14ac:dyDescent="0.25">
      <c r="A90" t="s">
        <v>304</v>
      </c>
      <c r="B90" t="str">
        <f>[1]!GetFolder(A90)</f>
        <v>C:\Program Files (x86)\Windows Kits\8.1\bin\x86</v>
      </c>
      <c r="C90" t="str">
        <f>[1]!GetFile(A90)</f>
        <v>WiCompon.vbs</v>
      </c>
      <c r="D90">
        <v>8705</v>
      </c>
      <c r="E90" s="7">
        <v>42377.974583333336</v>
      </c>
      <c r="F90" s="7">
        <v>41443.225347222222</v>
      </c>
      <c r="G90" s="7">
        <v>41443.225347222222</v>
      </c>
    </row>
    <row r="91" spans="1:7" x14ac:dyDescent="0.25">
      <c r="A91" t="s">
        <v>303</v>
      </c>
      <c r="B91" t="str">
        <f>[1]!GetFolder(A91)</f>
        <v>C:\Program Files (x86)\Windows Kits\8.1\bin\x86</v>
      </c>
      <c r="C91" t="str">
        <f>[1]!GetFile(A91)</f>
        <v>widialog.vbs</v>
      </c>
      <c r="D91">
        <v>4252</v>
      </c>
      <c r="E91" s="7">
        <v>42377.974583333336</v>
      </c>
      <c r="F91" s="7">
        <v>41443.225347222222</v>
      </c>
      <c r="G91" s="7">
        <v>41443.225347222222</v>
      </c>
    </row>
    <row r="92" spans="1:7" x14ac:dyDescent="0.25">
      <c r="A92" t="s">
        <v>302</v>
      </c>
      <c r="B92" t="str">
        <f>[1]!GetFolder(A92)</f>
        <v>C:\Program Files (x86)\Windows Kits\8.1\bin\x86</v>
      </c>
      <c r="C92" t="str">
        <f>[1]!GetFile(A92)</f>
        <v>widiffdb.vbs</v>
      </c>
      <c r="D92">
        <v>4832</v>
      </c>
      <c r="E92" s="7">
        <v>42377.974583333336</v>
      </c>
      <c r="F92" s="7">
        <v>41443.225347222222</v>
      </c>
      <c r="G92" s="7">
        <v>41443.225347222222</v>
      </c>
    </row>
    <row r="93" spans="1:7" x14ac:dyDescent="0.25">
      <c r="A93" t="s">
        <v>301</v>
      </c>
      <c r="B93" t="str">
        <f>[1]!GetFolder(A93)</f>
        <v>C:\Program Files (x86)\Windows Kits\8.1\bin\x86</v>
      </c>
      <c r="C93" t="str">
        <f>[1]!GetFile(A93)</f>
        <v>wiexport.vbs</v>
      </c>
      <c r="D93">
        <v>2837</v>
      </c>
      <c r="E93" s="7">
        <v>42377.974583333336</v>
      </c>
      <c r="F93" s="7">
        <v>41443.225347222222</v>
      </c>
      <c r="G93" s="7">
        <v>41443.225347222222</v>
      </c>
    </row>
    <row r="94" spans="1:7" x14ac:dyDescent="0.25">
      <c r="A94" t="s">
        <v>300</v>
      </c>
      <c r="B94" t="str">
        <f>[1]!GetFolder(A94)</f>
        <v>C:\Program Files (x86)\Windows Kits\8.1\bin\x86</v>
      </c>
      <c r="C94" t="str">
        <f>[1]!GetFile(A94)</f>
        <v>wifeatur.vbs</v>
      </c>
      <c r="D94">
        <v>8232</v>
      </c>
      <c r="E94" s="7">
        <v>42377.974583333336</v>
      </c>
      <c r="F94" s="7">
        <v>41443.225347222222</v>
      </c>
      <c r="G94" s="7">
        <v>41443.225347222222</v>
      </c>
    </row>
    <row r="95" spans="1:7" x14ac:dyDescent="0.25">
      <c r="A95" t="s">
        <v>299</v>
      </c>
      <c r="B95" t="str">
        <f>[1]!GetFolder(A95)</f>
        <v>C:\Program Files (x86)\Windows Kits\8.1\bin\x86</v>
      </c>
      <c r="C95" t="str">
        <f>[1]!GetFile(A95)</f>
        <v>wifilver.vbs</v>
      </c>
      <c r="D95">
        <v>10967</v>
      </c>
      <c r="E95" s="7">
        <v>42377.974583333336</v>
      </c>
      <c r="F95" s="7">
        <v>41443.225347222222</v>
      </c>
      <c r="G95" s="7">
        <v>41443.225347222222</v>
      </c>
    </row>
    <row r="96" spans="1:7" x14ac:dyDescent="0.25">
      <c r="A96" t="s">
        <v>298</v>
      </c>
      <c r="B96" t="str">
        <f>[1]!GetFolder(A96)</f>
        <v>C:\Program Files (x86)\Windows Kits\8.1\bin\x86</v>
      </c>
      <c r="C96" t="str">
        <f>[1]!GetFile(A96)</f>
        <v>wigenxfm.vbs</v>
      </c>
      <c r="D96">
        <v>2186</v>
      </c>
      <c r="E96" s="7">
        <v>42377.974583333336</v>
      </c>
      <c r="F96" s="7">
        <v>41443.225347222222</v>
      </c>
      <c r="G96" s="7">
        <v>41443.225347222222</v>
      </c>
    </row>
    <row r="97" spans="1:7" x14ac:dyDescent="0.25">
      <c r="A97" t="s">
        <v>297</v>
      </c>
      <c r="B97" t="str">
        <f>[1]!GetFolder(A97)</f>
        <v>C:\Program Files (x86)\Windows Kits\8.1\bin\x86</v>
      </c>
      <c r="C97" t="str">
        <f>[1]!GetFile(A97)</f>
        <v>wiimport.vbs</v>
      </c>
      <c r="D97">
        <v>3472</v>
      </c>
      <c r="E97" s="7">
        <v>42377.974583333336</v>
      </c>
      <c r="F97" s="7">
        <v>41443.225347222222</v>
      </c>
      <c r="G97" s="7">
        <v>41443.225347222222</v>
      </c>
    </row>
    <row r="98" spans="1:7" x14ac:dyDescent="0.25">
      <c r="A98" t="s">
        <v>296</v>
      </c>
      <c r="B98" t="str">
        <f>[1]!GetFolder(A98)</f>
        <v>C:\Program Files (x86)\Windows Kits\8.1\bin\x86</v>
      </c>
      <c r="C98" t="str">
        <f>[1]!GetFile(A98)</f>
        <v>wilangid.vbs</v>
      </c>
      <c r="D98">
        <v>7448</v>
      </c>
      <c r="E98" s="7">
        <v>42377.974583333336</v>
      </c>
      <c r="F98" s="7">
        <v>41443.225347222222</v>
      </c>
      <c r="G98" s="7">
        <v>41443.225347222222</v>
      </c>
    </row>
    <row r="99" spans="1:7" x14ac:dyDescent="0.25">
      <c r="A99" t="s">
        <v>295</v>
      </c>
      <c r="B99" t="str">
        <f>[1]!GetFolder(A99)</f>
        <v>C:\Program Files (x86)\Windows Kits\8.1\bin\x86</v>
      </c>
      <c r="C99" t="str">
        <f>[1]!GetFile(A99)</f>
        <v>wilstprd.vbs</v>
      </c>
      <c r="D99">
        <v>7637</v>
      </c>
      <c r="E99" s="7">
        <v>42377.974583333336</v>
      </c>
      <c r="F99" s="7">
        <v>41443.225347222222</v>
      </c>
      <c r="G99" s="7">
        <v>41443.225347222222</v>
      </c>
    </row>
    <row r="100" spans="1:7" x14ac:dyDescent="0.25">
      <c r="A100" t="s">
        <v>294</v>
      </c>
      <c r="B100" t="str">
        <f>[1]!GetFolder(A100)</f>
        <v>C:\Program Files (x86)\Windows Kits\8.1\bin\x86</v>
      </c>
      <c r="C100" t="str">
        <f>[1]!GetFile(A100)</f>
        <v>wilstscr.vbs</v>
      </c>
      <c r="D100">
        <v>2467</v>
      </c>
      <c r="E100" s="7">
        <v>42377.974583333336</v>
      </c>
      <c r="F100" s="7">
        <v>41443.225347222222</v>
      </c>
      <c r="G100" s="7">
        <v>41443.225347222222</v>
      </c>
    </row>
    <row r="101" spans="1:7" x14ac:dyDescent="0.25">
      <c r="A101" t="s">
        <v>293</v>
      </c>
      <c r="B101" t="str">
        <f>[1]!GetFolder(A101)</f>
        <v>C:\Program Files (x86)\Windows Kits\8.1\bin\x86</v>
      </c>
      <c r="C101" t="str">
        <f>[1]!GetFile(A101)</f>
        <v>wilstxfm.vbs</v>
      </c>
      <c r="D101">
        <v>4178</v>
      </c>
      <c r="E101" s="7">
        <v>42377.974583333336</v>
      </c>
      <c r="F101" s="7">
        <v>41443.225347222222</v>
      </c>
      <c r="G101" s="7">
        <v>41443.225347222222</v>
      </c>
    </row>
    <row r="102" spans="1:7" x14ac:dyDescent="0.25">
      <c r="A102" t="s">
        <v>292</v>
      </c>
      <c r="B102" t="str">
        <f>[1]!GetFolder(A102)</f>
        <v>C:\Program Files (x86)\Windows Kits\8.1\bin\x86</v>
      </c>
      <c r="C102" t="str">
        <f>[1]!GetFile(A102)</f>
        <v>wimakcab.vbs</v>
      </c>
      <c r="D102">
        <v>12573</v>
      </c>
      <c r="E102" s="7">
        <v>42377.974583333336</v>
      </c>
      <c r="F102" s="7">
        <v>41443.225347222222</v>
      </c>
      <c r="G102" s="7">
        <v>41443.225347222222</v>
      </c>
    </row>
    <row r="103" spans="1:7" x14ac:dyDescent="0.25">
      <c r="A103" t="s">
        <v>291</v>
      </c>
      <c r="B103" t="str">
        <f>[1]!GetFolder(A103)</f>
        <v>C:\Program Files (x86)\Windows Kits\8.1\bin\x86</v>
      </c>
      <c r="C103" t="str">
        <f>[1]!GetFile(A103)</f>
        <v>wimerge.vbs</v>
      </c>
      <c r="D103">
        <v>3098</v>
      </c>
      <c r="E103" s="7">
        <v>42377.974583333336</v>
      </c>
      <c r="F103" s="7">
        <v>41443.225347222222</v>
      </c>
      <c r="G103" s="7">
        <v>41443.225347222222</v>
      </c>
    </row>
    <row r="104" spans="1:7" x14ac:dyDescent="0.25">
      <c r="A104" t="s">
        <v>290</v>
      </c>
      <c r="B104" t="str">
        <f>[1]!GetFolder(A104)</f>
        <v>C:\Program Files (x86)\Windows Kits\8.1\bin\x86</v>
      </c>
      <c r="C104" t="str">
        <f>[1]!GetFile(A104)</f>
        <v>wipolicy.vbs</v>
      </c>
      <c r="D104">
        <v>8505</v>
      </c>
      <c r="E104" s="7">
        <v>42377.974583333336</v>
      </c>
      <c r="F104" s="7">
        <v>41443.225347222222</v>
      </c>
      <c r="G104" s="7">
        <v>41443.225347222222</v>
      </c>
    </row>
    <row r="105" spans="1:7" x14ac:dyDescent="0.25">
      <c r="A105" t="s">
        <v>289</v>
      </c>
      <c r="B105" t="str">
        <f>[1]!GetFolder(A105)</f>
        <v>C:\Program Files (x86)\Windows Kits\8.1\bin\x86</v>
      </c>
      <c r="C105" t="str">
        <f>[1]!GetFile(A105)</f>
        <v>wirunsql.vbs</v>
      </c>
      <c r="D105">
        <v>3125</v>
      </c>
      <c r="E105" s="7">
        <v>42377.974583333336</v>
      </c>
      <c r="F105" s="7">
        <v>41443.225347222222</v>
      </c>
      <c r="G105" s="7">
        <v>41443.225347222222</v>
      </c>
    </row>
    <row r="106" spans="1:7" x14ac:dyDescent="0.25">
      <c r="A106" t="s">
        <v>288</v>
      </c>
      <c r="B106" t="str">
        <f>[1]!GetFolder(A106)</f>
        <v>C:\Program Files (x86)\Windows Kits\8.1\bin\x86</v>
      </c>
      <c r="C106" t="str">
        <f>[1]!GetFile(A106)</f>
        <v>wistream.vbs</v>
      </c>
      <c r="D106">
        <v>4813</v>
      </c>
      <c r="E106" s="7">
        <v>42377.974583333336</v>
      </c>
      <c r="F106" s="7">
        <v>41443.225347222222</v>
      </c>
      <c r="G106" s="7">
        <v>41443.225347222222</v>
      </c>
    </row>
    <row r="107" spans="1:7" x14ac:dyDescent="0.25">
      <c r="A107" t="s">
        <v>287</v>
      </c>
      <c r="B107" t="str">
        <f>[1]!GetFolder(A107)</f>
        <v>C:\Program Files (x86)\Windows Kits\8.1\bin\x86</v>
      </c>
      <c r="C107" t="str">
        <f>[1]!GetFile(A107)</f>
        <v>wisubstg.vbs</v>
      </c>
      <c r="D107">
        <v>4605</v>
      </c>
      <c r="E107" s="7">
        <v>42377.974583333336</v>
      </c>
      <c r="F107" s="7">
        <v>41443.225347222222</v>
      </c>
      <c r="G107" s="7">
        <v>41443.225347222222</v>
      </c>
    </row>
    <row r="108" spans="1:7" x14ac:dyDescent="0.25">
      <c r="A108" t="s">
        <v>286</v>
      </c>
      <c r="B108" t="str">
        <f>[1]!GetFolder(A108)</f>
        <v>C:\Program Files (x86)\Windows Kits\8.1\bin\x86</v>
      </c>
      <c r="C108" t="str">
        <f>[1]!GetFile(A108)</f>
        <v>wisuminf.vbs</v>
      </c>
      <c r="D108">
        <v>6401</v>
      </c>
      <c r="E108" s="7">
        <v>42377.974583333336</v>
      </c>
      <c r="F108" s="7">
        <v>41443.225347222222</v>
      </c>
      <c r="G108" s="7">
        <v>41443.225347222222</v>
      </c>
    </row>
    <row r="109" spans="1:7" x14ac:dyDescent="0.25">
      <c r="A109" t="s">
        <v>285</v>
      </c>
      <c r="B109" t="str">
        <f>[1]!GetFolder(A109)</f>
        <v>C:\Program Files (x86)\Windows Kits\8.1\bin\x86</v>
      </c>
      <c r="C109" t="str">
        <f>[1]!GetFile(A109)</f>
        <v>witextin.vbs</v>
      </c>
      <c r="D109">
        <v>3808</v>
      </c>
      <c r="E109" s="7">
        <v>42377.974583333336</v>
      </c>
      <c r="F109" s="7">
        <v>41443.225347222222</v>
      </c>
      <c r="G109" s="7">
        <v>41443.225347222222</v>
      </c>
    </row>
    <row r="110" spans="1:7" x14ac:dyDescent="0.25">
      <c r="A110" t="s">
        <v>284</v>
      </c>
      <c r="B110" t="str">
        <f>[1]!GetFolder(A110)</f>
        <v>C:\Program Files (x86)\Windows Kits\8.1\bin\x86</v>
      </c>
      <c r="C110" t="str">
        <f>[1]!GetFile(A110)</f>
        <v>witoansi.vbs</v>
      </c>
      <c r="D110">
        <v>1989</v>
      </c>
      <c r="E110" s="7">
        <v>42377.974583333336</v>
      </c>
      <c r="F110" s="7">
        <v>41443.225347222222</v>
      </c>
      <c r="G110" s="7">
        <v>41443.225347222222</v>
      </c>
    </row>
    <row r="111" spans="1:7" x14ac:dyDescent="0.25">
      <c r="A111" t="s">
        <v>283</v>
      </c>
      <c r="B111" t="str">
        <f>[1]!GetFolder(A111)</f>
        <v>C:\Program Files (x86)\Windows Kits\8.1\bin\x86</v>
      </c>
      <c r="C111" t="str">
        <f>[1]!GetFile(A111)</f>
        <v>wiusexfm.vbs</v>
      </c>
      <c r="D111">
        <v>2822</v>
      </c>
      <c r="E111" s="7">
        <v>42377.974583333336</v>
      </c>
      <c r="F111" s="7">
        <v>41443.225347222222</v>
      </c>
      <c r="G111" s="7">
        <v>41443.225347222222</v>
      </c>
    </row>
    <row r="112" spans="1:7" x14ac:dyDescent="0.25">
      <c r="A112" t="s">
        <v>282</v>
      </c>
      <c r="B112" t="str">
        <f>[1]!GetFolder(A112)</f>
        <v>C:\Users\DAVE\Documents\Programming\Classic_ASP_Review\scripts</v>
      </c>
      <c r="C112" t="str">
        <f>[1]!GetFile(A112)</f>
        <v>WebApplication1_Solution_Elevated.VBS</v>
      </c>
      <c r="D112">
        <v>384</v>
      </c>
      <c r="E112" s="7">
        <v>42393.880416666667</v>
      </c>
      <c r="F112" s="7">
        <v>42362.780300925922</v>
      </c>
      <c r="G112" s="7">
        <v>42362.778379629628</v>
      </c>
    </row>
    <row r="113" spans="1:7" x14ac:dyDescent="0.25">
      <c r="A113" t="s">
        <v>281</v>
      </c>
      <c r="B113" t="str">
        <f>[1]!GetFolder(A113)</f>
        <v>C:\Users\DAVE\Documents\Programming\CMD\WWSetVBS</v>
      </c>
      <c r="C113" t="str">
        <f>[1]!GetFile(A113)</f>
        <v>WWWhichEngine.VBS</v>
      </c>
      <c r="D113">
        <v>2239</v>
      </c>
      <c r="E113" s="7">
        <v>42535.010266203702</v>
      </c>
      <c r="F113" s="7">
        <v>40300.744699074072</v>
      </c>
      <c r="G113" s="7">
        <v>41883.582106481481</v>
      </c>
    </row>
    <row r="114" spans="1:7" x14ac:dyDescent="0.25">
      <c r="A114" t="s">
        <v>280</v>
      </c>
      <c r="B114" t="str">
        <f>[1]!GetFolder(A114)</f>
        <v>C:\Users\DAVE\Documents\Programming\CMD\XCOPY_InUse_File\REFERENCE\ElevationToolkit1</v>
      </c>
      <c r="C114" t="str">
        <f>[1]!GetFile(A114)</f>
        <v>TestElevation.vbs</v>
      </c>
      <c r="D114">
        <v>1867</v>
      </c>
      <c r="E114" s="7">
        <v>42535.010266203702</v>
      </c>
      <c r="F114" s="7">
        <v>40289.552291666667</v>
      </c>
      <c r="G114" s="7">
        <v>41883.582106481481</v>
      </c>
    </row>
    <row r="115" spans="1:7" x14ac:dyDescent="0.25">
      <c r="A115" t="s">
        <v>279</v>
      </c>
      <c r="B115" t="str">
        <f>[1]!GetFolder(A115)</f>
        <v>C:\Users\DAVE\Documents\Programming\VBScript</v>
      </c>
      <c r="C115" t="str">
        <f>[1]!GetFile(A115)</f>
        <v>Common.vbs</v>
      </c>
      <c r="D115">
        <v>39084</v>
      </c>
      <c r="E115" s="7">
        <v>42623.795138888891</v>
      </c>
      <c r="F115" s="7">
        <v>42344.743611111109</v>
      </c>
      <c r="G115" s="7">
        <v>42344.743530092594</v>
      </c>
    </row>
    <row r="116" spans="1:7" x14ac:dyDescent="0.25">
      <c r="A116" t="s">
        <v>278</v>
      </c>
      <c r="B116" t="str">
        <f>[1]!GetFolder(A116)</f>
        <v>C:\Users\DAVE\Documents\Programming\VBScript</v>
      </c>
      <c r="C116" t="str">
        <f>[1]!GetFile(A116)</f>
        <v>CreateFolder1.VBS</v>
      </c>
      <c r="D116">
        <v>260</v>
      </c>
      <c r="E116" s="7">
        <v>42378.000844907408</v>
      </c>
      <c r="F116" s="7">
        <v>42085.742685185185</v>
      </c>
      <c r="G116" s="7">
        <v>42085.742106481484</v>
      </c>
    </row>
    <row r="117" spans="1:7" x14ac:dyDescent="0.25">
      <c r="A117" t="s">
        <v>277</v>
      </c>
      <c r="B117" t="str">
        <f>[1]!GetFolder(A117)</f>
        <v>C:\Users\DAVE\Documents\Programming\VBScript</v>
      </c>
      <c r="C117" t="str">
        <f>[1]!GetFile(A117)</f>
        <v>GZip.vbs</v>
      </c>
      <c r="D117">
        <v>595</v>
      </c>
      <c r="E117" s="7">
        <v>42378.000844907408</v>
      </c>
      <c r="F117" s="7">
        <v>40159.200162037036</v>
      </c>
      <c r="G117" s="7">
        <v>41883.582187499997</v>
      </c>
    </row>
    <row r="118" spans="1:7" x14ac:dyDescent="0.25">
      <c r="A118" t="s">
        <v>276</v>
      </c>
      <c r="B118" t="str">
        <f>[1]!GetFolder(A118)</f>
        <v>C:\Users\DAVE\Documents\Programming\VBScript</v>
      </c>
      <c r="C118" t="str">
        <f>[1]!GetFile(A118)</f>
        <v>MakeShortcut.VBS</v>
      </c>
      <c r="D118">
        <v>23095</v>
      </c>
      <c r="E118" s="7">
        <v>42378.000844907408</v>
      </c>
      <c r="F118" s="7">
        <v>42269.087627314817</v>
      </c>
      <c r="G118" s="7">
        <v>42269.003518518519</v>
      </c>
    </row>
    <row r="119" spans="1:7" x14ac:dyDescent="0.25">
      <c r="A119" t="s">
        <v>275</v>
      </c>
      <c r="B119" t="str">
        <f>[1]!GetFolder(A119)</f>
        <v>C:\Users\DAVE\Documents\Programming\VBScript\BELogScan</v>
      </c>
      <c r="C119" t="str">
        <f>[1]!GetFile(A119)</f>
        <v>BELogScan.vbs</v>
      </c>
      <c r="D119">
        <v>4539</v>
      </c>
      <c r="E119" s="7">
        <v>42378.000856481478</v>
      </c>
      <c r="F119" s="7">
        <v>38710.851458333331</v>
      </c>
      <c r="G119" s="7">
        <v>41883.582199074073</v>
      </c>
    </row>
    <row r="120" spans="1:7" x14ac:dyDescent="0.25">
      <c r="A120" t="s">
        <v>274</v>
      </c>
      <c r="B120" t="str">
        <f>[1]!GetFolder(A120)</f>
        <v>C:\Users\DAVE\Documents\Programming\VBScript\DelTempFiles</v>
      </c>
      <c r="C120" t="str">
        <f>[1]!GetFile(A120)</f>
        <v>ParseTaggedArgs.VBS</v>
      </c>
      <c r="D120">
        <v>23067</v>
      </c>
      <c r="E120" s="7">
        <v>42378.000856481478</v>
      </c>
      <c r="F120" s="7">
        <v>40105.869143518517</v>
      </c>
      <c r="G120" s="7">
        <v>41883.582199074073</v>
      </c>
    </row>
    <row r="121" spans="1:7" x14ac:dyDescent="0.25">
      <c r="A121" t="s">
        <v>273</v>
      </c>
      <c r="B121" t="str">
        <f>[1]!GetFolder(A121)</f>
        <v>C:\Users\DAVE\Documents\Programming\VBScript\ExtractWinEvents</v>
      </c>
      <c r="C121" t="str">
        <f>[1]!GetFile(A121)</f>
        <v>ExtractWinEvents.VBS</v>
      </c>
      <c r="D121">
        <v>116500</v>
      </c>
      <c r="E121" s="7">
        <v>42378.000856481478</v>
      </c>
      <c r="F121" s="7">
        <v>40115.943287037036</v>
      </c>
      <c r="G121" s="7">
        <v>41883.582187499997</v>
      </c>
    </row>
    <row r="122" spans="1:7" x14ac:dyDescent="0.25">
      <c r="A122" t="s">
        <v>272</v>
      </c>
      <c r="B122" t="str">
        <f>[1]!GetFolder(A122)</f>
        <v>C:\Users\DAVE\Documents\Programming\VBScript\ExtractWinEvents\Formatting\TestCode</v>
      </c>
      <c r="C122" t="str">
        <f>[1]!GetFile(A122)</f>
        <v>ExtractWinEvents.VBS</v>
      </c>
      <c r="D122">
        <v>116500</v>
      </c>
      <c r="E122" s="7">
        <v>42378.000856481478</v>
      </c>
      <c r="F122" s="7">
        <v>40115.943287037036</v>
      </c>
      <c r="G122" s="7">
        <v>41883.582199074073</v>
      </c>
    </row>
    <row r="123" spans="1:7" x14ac:dyDescent="0.25">
      <c r="A123" t="s">
        <v>271</v>
      </c>
      <c r="B123" t="str">
        <f>[1]!GetFolder(A123)</f>
        <v>C:\Users\DAVE\Documents\Programming\VBScript\ParseTaggedArgs</v>
      </c>
      <c r="C123" t="str">
        <f>[1]!GetFile(A123)</f>
        <v>ParseTaggedArgs.VBS</v>
      </c>
      <c r="D123">
        <v>23067</v>
      </c>
      <c r="E123" s="7">
        <v>42378.000856481478</v>
      </c>
      <c r="F123" s="7">
        <v>40105.869143518517</v>
      </c>
      <c r="G123" s="7">
        <v>41883.582187499997</v>
      </c>
    </row>
    <row r="124" spans="1:7" x14ac:dyDescent="0.25">
      <c r="A124" t="s">
        <v>270</v>
      </c>
      <c r="B124" t="str">
        <f>[1]!GetFolder(A124)</f>
        <v>C:\Users\DAVE\Documents\Programming\VBScript\Recycle_Bin_Pruner</v>
      </c>
      <c r="C124" t="str">
        <f>[1]!GetFile(A124)</f>
        <v>Clear_Recycler_Bin_of_Iitems_Ove_X_Dday_Old.VBS</v>
      </c>
      <c r="D124">
        <v>2343</v>
      </c>
      <c r="E124" s="7">
        <v>42378.000856481478</v>
      </c>
      <c r="F124" s="7">
        <v>41382.440486111111</v>
      </c>
      <c r="G124" s="7">
        <v>41883.582187499997</v>
      </c>
    </row>
    <row r="125" spans="1:7" x14ac:dyDescent="0.25">
      <c r="A125" t="s">
        <v>269</v>
      </c>
      <c r="B125" t="str">
        <f>[1]!GetFolder(A125)</f>
        <v>C:\Users\DAVE\Documents\Programming\VBScript\SetDocProps</v>
      </c>
      <c r="C125" t="str">
        <f>[1]!GetFile(A125)</f>
        <v>SetMSODocProps.VBS</v>
      </c>
      <c r="D125">
        <v>27269</v>
      </c>
      <c r="E125" s="7">
        <v>42378.000856481478</v>
      </c>
      <c r="F125" s="7">
        <v>40035.442060185182</v>
      </c>
      <c r="G125" s="7">
        <v>41883.582187499997</v>
      </c>
    </row>
    <row r="126" spans="1:7" x14ac:dyDescent="0.25">
      <c r="A126" t="s">
        <v>268</v>
      </c>
      <c r="B126" t="str">
        <f>[1]!GetFolder(A126)</f>
        <v>C:\Users\DAVE\Documents\Programming\Visual_Studio_6\DLL\EventLogging\scripts</v>
      </c>
      <c r="C126" t="str">
        <f>[1]!GetFile(A126)</f>
        <v>ELARegistrar_Solution_Elevated.VBS</v>
      </c>
      <c r="D126">
        <v>363</v>
      </c>
      <c r="E126" s="7">
        <v>42452.968969907408</v>
      </c>
      <c r="F126" s="7">
        <v>42393.882673611108</v>
      </c>
      <c r="G126" s="7">
        <v>42393.881712962961</v>
      </c>
    </row>
    <row r="127" spans="1:7" x14ac:dyDescent="0.25">
      <c r="A127" t="s">
        <v>267</v>
      </c>
      <c r="B127" t="str">
        <f>[1]!GetFolder(A127)</f>
        <v>C:\Users\DAVE\Documents\Programming\WinBatch_Studio\Retired\2007TZFIX\scripts</v>
      </c>
      <c r="C127" t="str">
        <f>[1]!GetFile(A127)</f>
        <v>refreshTZinfo.vbs</v>
      </c>
      <c r="D127">
        <v>7642</v>
      </c>
      <c r="E127" s="7">
        <v>42378.003645833334</v>
      </c>
      <c r="F127" s="7">
        <v>39146.770092592589</v>
      </c>
      <c r="G127" s="7">
        <v>41883.583541666667</v>
      </c>
    </row>
    <row r="128" spans="1:7" x14ac:dyDescent="0.25">
      <c r="A128" t="s">
        <v>266</v>
      </c>
      <c r="B128" t="str">
        <f>[1]!GetFolder(A128)</f>
        <v>C:\Users\DAVE\OneDrive\OneDrive - Simple Soft Services, Inc\REFERENCE\NTFS Streams and Hard Links</v>
      </c>
      <c r="C128" t="str">
        <f>[1]!GetFile(A128)</f>
        <v>HardLinks.vbs</v>
      </c>
      <c r="D128">
        <v>3018</v>
      </c>
      <c r="E128" s="7">
        <v>42598.075208333335</v>
      </c>
      <c r="F128" s="7">
        <v>42323.848437499997</v>
      </c>
      <c r="G128" s="7">
        <v>42532.720092592594</v>
      </c>
    </row>
    <row r="129" spans="1:7" x14ac:dyDescent="0.25">
      <c r="A129" t="s">
        <v>265</v>
      </c>
      <c r="B129" t="str">
        <f>[1]!GetFolder(A129)</f>
        <v>C:\Users\DAVE\OneDrive\OneDrive - Simple Soft Services, Inc\REFERENCE\NTFS Streams and Hard Links</v>
      </c>
      <c r="C129" t="str">
        <f>[1]!GetFile(A129)</f>
        <v>RWStream.vbs</v>
      </c>
      <c r="D129">
        <v>3026</v>
      </c>
      <c r="E129" s="7">
        <v>42598.075208333335</v>
      </c>
      <c r="F129" s="7">
        <v>42323.848449074074</v>
      </c>
      <c r="G129" s="7">
        <v>42532.719421296293</v>
      </c>
    </row>
    <row r="130" spans="1:7" x14ac:dyDescent="0.25">
      <c r="A130" t="s">
        <v>264</v>
      </c>
      <c r="B130" t="str">
        <f>[1]!GetFolder(A130)</f>
        <v>C:\Users\DAVE\OneDrive\REFERENCE\BASIC</v>
      </c>
      <c r="C130" t="str">
        <f>[1]!GetFile(A130)</f>
        <v>Common.vbs</v>
      </c>
      <c r="D130">
        <v>39084</v>
      </c>
      <c r="E130" s="7">
        <v>42623.79515046296</v>
      </c>
      <c r="F130" s="7">
        <v>42344.743611111109</v>
      </c>
      <c r="G130" s="7">
        <v>42344.743530092594</v>
      </c>
    </row>
    <row r="131" spans="1:7" x14ac:dyDescent="0.25">
      <c r="A131" t="s">
        <v>263</v>
      </c>
      <c r="B131" t="str">
        <f>[1]!GetFolder(A131)</f>
        <v>C:\Users\DAVE\OneDrive\REFERENCE\HTML\IEspy_src</v>
      </c>
      <c r="C131" t="str">
        <f>[1]!GetFile(A131)</f>
        <v>IEspy.vbs</v>
      </c>
      <c r="D131">
        <v>31254</v>
      </c>
      <c r="E131" s="7">
        <v>42598.076192129629</v>
      </c>
      <c r="F131" s="7">
        <v>38141.685486111113</v>
      </c>
      <c r="G131" s="7">
        <v>41928.598692129628</v>
      </c>
    </row>
    <row r="132" spans="1:7" x14ac:dyDescent="0.25">
      <c r="A132" t="s">
        <v>262</v>
      </c>
      <c r="B132" t="str">
        <f>[1]!GetFolder(A132)</f>
        <v>C:\Users\DAVE\OneDrive\REFERENCE\HTML\IEspy_src</v>
      </c>
      <c r="C132" t="str">
        <f>[1]!GetFile(A132)</f>
        <v>IEspy_Network.vbs</v>
      </c>
      <c r="D132">
        <v>21296</v>
      </c>
      <c r="E132" s="7">
        <v>42598.076192129629</v>
      </c>
      <c r="F132" s="7">
        <v>38141.685671296298</v>
      </c>
      <c r="G132" s="7">
        <v>41928.598692129628</v>
      </c>
    </row>
    <row r="133" spans="1:7" x14ac:dyDescent="0.25">
      <c r="A133" t="s">
        <v>261</v>
      </c>
      <c r="B133" t="str">
        <f>[1]!GetFolder(A133)</f>
        <v>C:\Users\DAVE\OneDrive\REFERENCE\NTFS Streams and Hard Links</v>
      </c>
      <c r="C133" t="str">
        <f>[1]!GetFile(A133)</f>
        <v>HardLinks.vbs</v>
      </c>
      <c r="D133">
        <v>3018</v>
      </c>
      <c r="E133" s="7">
        <v>42597.966886574075</v>
      </c>
      <c r="F133" s="7">
        <v>36560.749236111114</v>
      </c>
      <c r="G133" s="7">
        <v>41928.599074074074</v>
      </c>
    </row>
    <row r="134" spans="1:7" x14ac:dyDescent="0.25">
      <c r="A134" t="s">
        <v>260</v>
      </c>
      <c r="B134" t="str">
        <f>[1]!GetFolder(A134)</f>
        <v>C:\Users\DAVE\OneDrive\REFERENCE\NTFS Streams and Hard Links</v>
      </c>
      <c r="C134" t="str">
        <f>[1]!GetFile(A134)</f>
        <v>RWStream.vbs</v>
      </c>
      <c r="D134">
        <v>3026</v>
      </c>
      <c r="E134" s="7">
        <v>42597.966898148145</v>
      </c>
      <c r="F134" s="7">
        <v>36560.147523148145</v>
      </c>
      <c r="G134" s="7">
        <v>41928.599074074074</v>
      </c>
    </row>
    <row r="135" spans="1:7" x14ac:dyDescent="0.25">
      <c r="A135" t="s">
        <v>259</v>
      </c>
      <c r="B135" t="str">
        <f>[1]!GetFolder(A135)</f>
        <v>C:\Users\DAVE\OneDrive\REFERENCE\NTFS Streams and Hard Links\StrmExt\ReleaseMinDependency</v>
      </c>
      <c r="C135" t="str">
        <f>[1]!GetFile(A135)</f>
        <v>HardLinks.vbs</v>
      </c>
      <c r="D135">
        <v>3018</v>
      </c>
      <c r="E135" s="7">
        <v>42598.08021990741</v>
      </c>
      <c r="F135" s="7">
        <v>36560.749236111114</v>
      </c>
      <c r="G135" s="7">
        <v>41928.599074074074</v>
      </c>
    </row>
    <row r="136" spans="1:7" x14ac:dyDescent="0.25">
      <c r="A136" t="s">
        <v>258</v>
      </c>
      <c r="B136" t="str">
        <f>[1]!GetFolder(A136)</f>
        <v>C:\Users\DAVE\OneDrive\REFERENCE\NTFS Streams and Hard Links\StrmExt\ReleaseMinDependency</v>
      </c>
      <c r="C136" t="str">
        <f>[1]!GetFile(A136)</f>
        <v>RWStream.vbs</v>
      </c>
      <c r="D136">
        <v>3026</v>
      </c>
      <c r="E136" s="7">
        <v>42598.08021990741</v>
      </c>
      <c r="F136" s="7">
        <v>36560.147523148145</v>
      </c>
      <c r="G136" s="7">
        <v>41928.599074074074</v>
      </c>
    </row>
    <row r="137" spans="1:7" x14ac:dyDescent="0.25">
      <c r="A137" t="s">
        <v>257</v>
      </c>
      <c r="B137" t="str">
        <f>[1]!GetFolder(A137)</f>
        <v>C:\Users\DAVE\OneDrive\REFERENCE\PKZIP_ERROR_TRAPPING</v>
      </c>
      <c r="C137" t="str">
        <f>[1]!GetFile(A137)</f>
        <v>focus.vbs</v>
      </c>
      <c r="D137">
        <v>482</v>
      </c>
      <c r="E137" s="7">
        <v>42597.96770833333</v>
      </c>
      <c r="F137" s="7">
        <v>39675.739282407405</v>
      </c>
      <c r="G137" s="7">
        <v>41928.599293981482</v>
      </c>
    </row>
    <row r="138" spans="1:7" x14ac:dyDescent="0.25">
      <c r="A138" t="s">
        <v>256</v>
      </c>
      <c r="B138" t="str">
        <f>[1]!GetFolder(A138)</f>
        <v>C:\Users\DAVE\OneDrive\REFERENCE\PKZIP_ERROR_TRAPPING</v>
      </c>
      <c r="C138" t="str">
        <f>[1]!GetFile(A138)</f>
        <v>regopen.vbs</v>
      </c>
      <c r="D138">
        <v>382</v>
      </c>
      <c r="E138" s="7">
        <v>42597.967777777776</v>
      </c>
      <c r="F138" s="7">
        <v>39675.738263888888</v>
      </c>
      <c r="G138" s="7">
        <v>41928.599293981482</v>
      </c>
    </row>
    <row r="139" spans="1:7" x14ac:dyDescent="0.25">
      <c r="A139" t="s">
        <v>255</v>
      </c>
      <c r="B139" t="str">
        <f>[1]!GetFolder(A139)</f>
        <v>C:\Users\DAVE\OneDrive\REFERENCE\Registry_Hacks_to_Review</v>
      </c>
      <c r="C139" t="str">
        <f>[1]!GetFile(A139)</f>
        <v>accountsid.vbs</v>
      </c>
      <c r="D139">
        <v>329</v>
      </c>
      <c r="E139" s="7">
        <v>42597.967905092592</v>
      </c>
      <c r="F139" s="7">
        <v>39675.720347222225</v>
      </c>
      <c r="G139" s="7">
        <v>41928.599386574075</v>
      </c>
    </row>
    <row r="140" spans="1:7" x14ac:dyDescent="0.25">
      <c r="A140" t="s">
        <v>254</v>
      </c>
      <c r="B140" t="str">
        <f>[1]!GetFolder(A140)</f>
        <v>C:\Users\DAVE\OneDrive\REFERENCE\Registry_Hacks_to_Review</v>
      </c>
      <c r="C140" t="str">
        <f>[1]!GetFile(A140)</f>
        <v>alwayshideext.vbs</v>
      </c>
      <c r="D140">
        <v>827</v>
      </c>
      <c r="E140" s="7">
        <v>42597.967905092592</v>
      </c>
      <c r="F140" s="7">
        <v>39675.721134259256</v>
      </c>
      <c r="G140" s="7">
        <v>41928.599386574075</v>
      </c>
    </row>
    <row r="141" spans="1:7" x14ac:dyDescent="0.25">
      <c r="A141" t="s">
        <v>253</v>
      </c>
      <c r="B141" t="str">
        <f>[1]!GetFolder(A141)</f>
        <v>C:\Users\DAVE\OneDrive\REFERENCE\Registry_Hacks_to_Review</v>
      </c>
      <c r="C141" t="str">
        <f>[1]!GetFile(A141)</f>
        <v>changedefaultdir.vbs</v>
      </c>
      <c r="D141">
        <v>400</v>
      </c>
      <c r="E141" s="7">
        <v>42597.967905092592</v>
      </c>
      <c r="F141" s="7">
        <v>39675.741828703707</v>
      </c>
      <c r="G141" s="7">
        <v>41928.599386574075</v>
      </c>
    </row>
    <row r="142" spans="1:7" x14ac:dyDescent="0.25">
      <c r="A142" t="s">
        <v>252</v>
      </c>
      <c r="B142" t="str">
        <f>[1]!GetFolder(A142)</f>
        <v>C:\Users\DAVE\OneDrive\REFERENCE\Registry_Hacks_to_Review</v>
      </c>
      <c r="C142" t="str">
        <f>[1]!GetFile(A142)</f>
        <v>changeownerorg.vbs</v>
      </c>
      <c r="D142">
        <v>714</v>
      </c>
      <c r="E142" s="7">
        <v>42597.967905092592</v>
      </c>
      <c r="F142" s="7">
        <v>39675.734837962962</v>
      </c>
      <c r="G142" s="7">
        <v>41928.599386574075</v>
      </c>
    </row>
    <row r="143" spans="1:7" x14ac:dyDescent="0.25">
      <c r="A143" t="s">
        <v>251</v>
      </c>
      <c r="B143" t="str">
        <f>[1]!GetFolder(A143)</f>
        <v>C:\Users\DAVE\OneDrive\REFERENCE\Registry_Hacks_to_Review</v>
      </c>
      <c r="C143" t="str">
        <f>[1]!GetFile(A143)</f>
        <v>changess.vbs</v>
      </c>
      <c r="D143">
        <v>454</v>
      </c>
      <c r="E143" s="7">
        <v>42597.967905092592</v>
      </c>
      <c r="F143" s="7">
        <v>39675.754907407405</v>
      </c>
      <c r="G143" s="7">
        <v>41928.599386574075</v>
      </c>
    </row>
    <row r="144" spans="1:7" x14ac:dyDescent="0.25">
      <c r="A144" t="s">
        <v>250</v>
      </c>
      <c r="B144" t="str">
        <f>[1]!GetFolder(A144)</f>
        <v>C:\Users\DAVE\OneDrive\REFERENCE\Registry_Hacks_to_Review</v>
      </c>
      <c r="C144" t="str">
        <f>[1]!GetFile(A144)</f>
        <v>clipboardreader.vbs</v>
      </c>
      <c r="D144">
        <v>300</v>
      </c>
      <c r="E144" s="7">
        <v>42597.967916666668</v>
      </c>
      <c r="F144" s="7">
        <v>39675.719444444447</v>
      </c>
      <c r="G144" s="7">
        <v>41928.599386574075</v>
      </c>
    </row>
    <row r="145" spans="1:7" x14ac:dyDescent="0.25">
      <c r="A145" t="s">
        <v>249</v>
      </c>
      <c r="B145" t="str">
        <f>[1]!GetFolder(A145)</f>
        <v>C:\Users\DAVE\OneDrive\REFERENCE\Registry_Hacks_to_Review</v>
      </c>
      <c r="C145" t="str">
        <f>[1]!GetFile(A145)</f>
        <v>compactcheck.vbs</v>
      </c>
      <c r="D145">
        <v>1456</v>
      </c>
      <c r="E145" s="7">
        <v>42597.967916666668</v>
      </c>
      <c r="F145" s="7">
        <v>39675.730810185189</v>
      </c>
      <c r="G145" s="7">
        <v>41928.599386574075</v>
      </c>
    </row>
    <row r="146" spans="1:7" x14ac:dyDescent="0.25">
      <c r="A146" t="s">
        <v>248</v>
      </c>
      <c r="B146" t="str">
        <f>[1]!GetFolder(A146)</f>
        <v>C:\Users\DAVE\OneDrive\REFERENCE\Registry_Hacks_to_Review</v>
      </c>
      <c r="C146" t="str">
        <f>[1]!GetFile(A146)</f>
        <v>favdisable.vbs</v>
      </c>
      <c r="D146">
        <v>480</v>
      </c>
      <c r="E146" s="7">
        <v>42597.967928240738</v>
      </c>
      <c r="F146" s="7">
        <v>39675.740185185183</v>
      </c>
      <c r="G146" s="7">
        <v>41928.599386574075</v>
      </c>
    </row>
    <row r="147" spans="1:7" x14ac:dyDescent="0.25">
      <c r="A147" t="s">
        <v>247</v>
      </c>
      <c r="B147" t="str">
        <f>[1]!GetFolder(A147)</f>
        <v>C:\Users\DAVE\OneDrive\REFERENCE\Registry_Hacks_to_Review</v>
      </c>
      <c r="C147" t="str">
        <f>[1]!GetFile(A147)</f>
        <v>favmenus.vbs</v>
      </c>
      <c r="D147">
        <v>480</v>
      </c>
      <c r="E147" s="7">
        <v>42597.967928240738</v>
      </c>
      <c r="F147" s="7">
        <v>39675.740277777775</v>
      </c>
      <c r="G147" s="7">
        <v>41928.599386574075</v>
      </c>
    </row>
    <row r="148" spans="1:7" x14ac:dyDescent="0.25">
      <c r="A148" t="s">
        <v>246</v>
      </c>
      <c r="B148" t="str">
        <f>[1]!GetFolder(A148)</f>
        <v>C:\Users\DAVE\OneDrive\REFERENCE\Registry_Hacks_to_Review</v>
      </c>
      <c r="C148" t="str">
        <f>[1]!GetFile(A148)</f>
        <v>focus.vbs</v>
      </c>
      <c r="D148">
        <v>482</v>
      </c>
      <c r="E148" s="7">
        <v>42597.967928240738</v>
      </c>
      <c r="F148" s="7">
        <v>39675.739282407405</v>
      </c>
      <c r="G148" s="7">
        <v>41928.599386574075</v>
      </c>
    </row>
    <row r="149" spans="1:7" x14ac:dyDescent="0.25">
      <c r="A149" t="s">
        <v>245</v>
      </c>
      <c r="B149" t="str">
        <f>[1]!GetFolder(A149)</f>
        <v>C:\Users\DAVE\OneDrive\REFERENCE\Registry_Hacks_to_Review</v>
      </c>
      <c r="C149" t="str">
        <f>[1]!GetFile(A149)</f>
        <v>focusundo.vbs</v>
      </c>
      <c r="D149">
        <v>481</v>
      </c>
      <c r="E149" s="7">
        <v>42597.967928240738</v>
      </c>
      <c r="F149" s="7">
        <v>39675.739791666667</v>
      </c>
      <c r="G149" s="7">
        <v>41928.599386574075</v>
      </c>
    </row>
    <row r="150" spans="1:7" x14ac:dyDescent="0.25">
      <c r="A150" t="s">
        <v>244</v>
      </c>
      <c r="B150" t="str">
        <f>[1]!GetFolder(A150)</f>
        <v>C:\Users\DAVE\OneDrive\REFERENCE\Registry_Hacks_to_Review</v>
      </c>
      <c r="C150" t="str">
        <f>[1]!GetFile(A150)</f>
        <v>iconcache.vbs</v>
      </c>
      <c r="D150">
        <v>349</v>
      </c>
      <c r="E150" s="7">
        <v>42597.967928240738</v>
      </c>
      <c r="F150" s="7">
        <v>39675.716064814813</v>
      </c>
      <c r="G150" s="7">
        <v>41928.599386574075</v>
      </c>
    </row>
    <row r="151" spans="1:7" x14ac:dyDescent="0.25">
      <c r="A151" t="s">
        <v>243</v>
      </c>
      <c r="B151" t="str">
        <f>[1]!GetFolder(A151)</f>
        <v>C:\Users\DAVE\OneDrive\REFERENCE\Registry_Hacks_to_Review</v>
      </c>
      <c r="C151" t="str">
        <f>[1]!GetFile(A151)</f>
        <v>ietoolbars.vbs</v>
      </c>
      <c r="D151">
        <v>944</v>
      </c>
      <c r="E151" s="7">
        <v>42597.967939814815</v>
      </c>
      <c r="F151" s="7">
        <v>39675.732939814814</v>
      </c>
      <c r="G151" s="7">
        <v>41928.599386574075</v>
      </c>
    </row>
    <row r="152" spans="1:7" x14ac:dyDescent="0.25">
      <c r="A152" t="s">
        <v>242</v>
      </c>
      <c r="B152" t="str">
        <f>[1]!GetFolder(A152)</f>
        <v>C:\Users\DAVE\OneDrive\REFERENCE\Registry_Hacks_to_Review</v>
      </c>
      <c r="C152" t="str">
        <f>[1]!GetFile(A152)</f>
        <v>LookUpExtensions.vbs</v>
      </c>
      <c r="D152">
        <v>658</v>
      </c>
      <c r="E152" s="7">
        <v>42597.967951388891</v>
      </c>
      <c r="F152" s="7">
        <v>39675.740671296298</v>
      </c>
      <c r="G152" s="7">
        <v>41928.599386574075</v>
      </c>
    </row>
    <row r="153" spans="1:7" x14ac:dyDescent="0.25">
      <c r="A153" t="s">
        <v>241</v>
      </c>
      <c r="B153" t="str">
        <f>[1]!GetFolder(A153)</f>
        <v>C:\Users\DAVE\OneDrive\REFERENCE\Registry_Hacks_to_Review</v>
      </c>
      <c r="C153" t="str">
        <f>[1]!GetFile(A153)</f>
        <v>numlockenabledisable.vbs</v>
      </c>
      <c r="D153">
        <v>993</v>
      </c>
      <c r="E153" s="7">
        <v>42597.967951388891</v>
      </c>
      <c r="F153" s="7">
        <v>39675.734675925924</v>
      </c>
      <c r="G153" s="7">
        <v>41928.599386574075</v>
      </c>
    </row>
    <row r="154" spans="1:7" x14ac:dyDescent="0.25">
      <c r="A154" t="s">
        <v>240</v>
      </c>
      <c r="B154" t="str">
        <f>[1]!GetFolder(A154)</f>
        <v>C:\Users\DAVE\OneDrive\REFERENCE\Registry_Hacks_to_Review</v>
      </c>
      <c r="C154" t="str">
        <f>[1]!GetFile(A154)</f>
        <v>readhostfile.vbs</v>
      </c>
      <c r="D154">
        <v>697</v>
      </c>
      <c r="E154" s="7">
        <v>42597.967962962961</v>
      </c>
      <c r="F154" s="7">
        <v>39675.750439814816</v>
      </c>
      <c r="G154" s="7">
        <v>41928.599386574075</v>
      </c>
    </row>
    <row r="155" spans="1:7" x14ac:dyDescent="0.25">
      <c r="A155" t="s">
        <v>239</v>
      </c>
      <c r="B155" t="str">
        <f>[1]!GetFolder(A155)</f>
        <v>C:\Users\DAVE\OneDrive\REFERENCE\Registry_Hacks_to_Review</v>
      </c>
      <c r="C155" t="str">
        <f>[1]!GetFile(A155)</f>
        <v>regopen.vbs</v>
      </c>
      <c r="D155">
        <v>382</v>
      </c>
      <c r="E155" s="7">
        <v>42597.967962962961</v>
      </c>
      <c r="F155" s="7">
        <v>39675.738263888888</v>
      </c>
      <c r="G155" s="7">
        <v>41928.599386574075</v>
      </c>
    </row>
    <row r="156" spans="1:7" x14ac:dyDescent="0.25">
      <c r="A156" t="s">
        <v>238</v>
      </c>
      <c r="B156" t="str">
        <f>[1]!GetFolder(A156)</f>
        <v>C:\Users\DAVE\OneDrive\REFERENCE\Registry_Hacks_to_Review</v>
      </c>
      <c r="C156" t="str">
        <f>[1]!GetFile(A156)</f>
        <v>ReportClassName.vbs</v>
      </c>
      <c r="D156">
        <v>5597</v>
      </c>
      <c r="E156" s="7">
        <v>42597.967962962961</v>
      </c>
      <c r="F156" s="7">
        <v>39675.717129629629</v>
      </c>
      <c r="G156" s="7">
        <v>41928.599386574075</v>
      </c>
    </row>
    <row r="157" spans="1:7" x14ac:dyDescent="0.25">
      <c r="A157" t="s">
        <v>237</v>
      </c>
      <c r="B157" t="str">
        <f>[1]!GetFolder(A157)</f>
        <v>C:\Users\DAVE\OneDrive\REFERENCE\Registry_Hacks_to_Review</v>
      </c>
      <c r="C157" t="str">
        <f>[1]!GetFile(A157)</f>
        <v>screensaverchange.vbs</v>
      </c>
      <c r="D157">
        <v>1128</v>
      </c>
      <c r="E157" s="7">
        <v>42597.967962962961</v>
      </c>
      <c r="F157" s="7">
        <v>39675.753888888888</v>
      </c>
      <c r="G157" s="7">
        <v>41928.599386574075</v>
      </c>
    </row>
    <row r="158" spans="1:7" x14ac:dyDescent="0.25">
      <c r="A158" t="s">
        <v>236</v>
      </c>
      <c r="B158" t="str">
        <f>[1]!GetFolder(A158)</f>
        <v>C:\Users\DAVE\OneDrive\REFERENCE\Registry_Hacks_to_Review</v>
      </c>
      <c r="C158" t="str">
        <f>[1]!GetFile(A158)</f>
        <v>separateprocess.vbs</v>
      </c>
      <c r="D158">
        <v>497</v>
      </c>
      <c r="E158" s="7">
        <v>42597.967974537038</v>
      </c>
      <c r="F158" s="7">
        <v>39675.709930555553</v>
      </c>
      <c r="G158" s="7">
        <v>41928.599386574075</v>
      </c>
    </row>
    <row r="159" spans="1:7" x14ac:dyDescent="0.25">
      <c r="A159" t="s">
        <v>235</v>
      </c>
      <c r="B159" t="str">
        <f>[1]!GetFolder(A159)</f>
        <v>C:\Users\DAVE\OneDrive\REFERENCE\Registry_Hacks_to_Review</v>
      </c>
      <c r="C159" t="str">
        <f>[1]!GetFile(A159)</f>
        <v>specialfolder.vbs</v>
      </c>
      <c r="D159">
        <v>4080</v>
      </c>
      <c r="E159" s="7">
        <v>42597.967986111114</v>
      </c>
      <c r="F159" s="7">
        <v>39675.716666666667</v>
      </c>
      <c r="G159" s="7">
        <v>41928.599386574075</v>
      </c>
    </row>
    <row r="160" spans="1:7" x14ac:dyDescent="0.25">
      <c r="A160" t="s">
        <v>234</v>
      </c>
      <c r="B160" t="str">
        <f>[1]!GetFolder(A160)</f>
        <v>C:\Users\DAVE\OneDrive\REFERENCE\Registry_Hacks_to_Review</v>
      </c>
      <c r="C160" t="str">
        <f>[1]!GetFile(A160)</f>
        <v>systemuptime.vbs</v>
      </c>
      <c r="D160">
        <v>781</v>
      </c>
      <c r="E160" s="7">
        <v>42597.967997685184</v>
      </c>
      <c r="F160" s="7">
        <v>39675.747083333335</v>
      </c>
      <c r="G160" s="7">
        <v>41928.599386574075</v>
      </c>
    </row>
    <row r="161" spans="1:7" x14ac:dyDescent="0.25">
      <c r="A161" t="s">
        <v>233</v>
      </c>
      <c r="B161" t="str">
        <f>[1]!GetFolder(A161)</f>
        <v>C:\Users\DAVE\OneDrive\REFERENCE\Registry_Hacks_to_Review</v>
      </c>
      <c r="C161" t="str">
        <f>[1]!GetFile(A161)</f>
        <v>window_placement.vbs</v>
      </c>
      <c r="D161">
        <v>175</v>
      </c>
      <c r="E161" s="7">
        <v>42597.967997685184</v>
      </c>
      <c r="F161" s="7">
        <v>39675.709583333337</v>
      </c>
      <c r="G161" s="7">
        <v>41928.599386574075</v>
      </c>
    </row>
    <row r="162" spans="1:7" x14ac:dyDescent="0.25">
      <c r="A162" t="s">
        <v>232</v>
      </c>
      <c r="B162" t="str">
        <f>[1]!GetFolder(A162)</f>
        <v>C:\Users\DAVE\OneDrive\REFERENCE\SQL_Server_2000_Resource_Kit\X0804969CD\TOOLSANDSAMPLES\METADATASCRIPTER</v>
      </c>
      <c r="C162" t="str">
        <f>[1]!GetFile(A162)</f>
        <v>FOOTER.VBS</v>
      </c>
      <c r="D162">
        <v>95799</v>
      </c>
      <c r="E162" s="7">
        <v>42598.35628472222</v>
      </c>
      <c r="F162" s="7">
        <v>36935.369652777779</v>
      </c>
      <c r="G162" s="7">
        <v>41928.599583333336</v>
      </c>
    </row>
    <row r="163" spans="1:7" x14ac:dyDescent="0.25">
      <c r="A163" t="s">
        <v>231</v>
      </c>
      <c r="B163" t="str">
        <f>[1]!GetFolder(A163)</f>
        <v>C:\Users\DAVE\OneDrive\REFERENCE\SQL_Server_2000_Resource_Kit\X0804969CD\TOOLSANDSAMPLES\METADATASCRIPTER</v>
      </c>
      <c r="C163" t="str">
        <f>[1]!GetFile(A163)</f>
        <v>HEADER.VBS</v>
      </c>
      <c r="D163">
        <v>1540</v>
      </c>
      <c r="E163" s="7">
        <v>42598.35628472222</v>
      </c>
      <c r="F163" s="7">
        <v>36935.369652777779</v>
      </c>
      <c r="G163" s="7">
        <v>41928.599583333336</v>
      </c>
    </row>
    <row r="164" spans="1:7" x14ac:dyDescent="0.25">
      <c r="A164" t="s">
        <v>230</v>
      </c>
      <c r="B164" t="str">
        <f>[1]!GetFolder(A164)</f>
        <v>C:\Users\DAVE\OneDrive\REFERENCE\Win32_API\Calling_External_Programs</v>
      </c>
      <c r="C164" t="str">
        <f>[1]!GetFile(A164)</f>
        <v>RunWait.VBS</v>
      </c>
      <c r="D164">
        <v>3387</v>
      </c>
      <c r="E164" s="7">
        <v>42598.077384259261</v>
      </c>
      <c r="F164" s="7">
        <v>38948.732476851852</v>
      </c>
      <c r="G164" s="7">
        <v>41928.598981481482</v>
      </c>
    </row>
    <row r="165" spans="1:7" x14ac:dyDescent="0.25">
      <c r="A165" t="s">
        <v>229</v>
      </c>
      <c r="B165" t="str">
        <f>[1]!GetFolder(A165)</f>
        <v>C:\Users\DAVE\OneDrive\REFERENCE\WinBatch_Stuff\evtextender\EvtExt</v>
      </c>
      <c r="C165" t="str">
        <f>[1]!GetFile(A165)</f>
        <v>error.vbs</v>
      </c>
      <c r="D165">
        <v>84</v>
      </c>
      <c r="E165" s="7">
        <v>42598.085335648146</v>
      </c>
      <c r="F165" s="7">
        <v>37606.77138888889</v>
      </c>
      <c r="G165" s="7">
        <v>41928.600706018522</v>
      </c>
    </row>
    <row r="166" spans="1:7" x14ac:dyDescent="0.25">
      <c r="A166" t="s">
        <v>228</v>
      </c>
      <c r="B166" t="str">
        <f>[1]!GetFolder(A166)</f>
        <v>C:\Users\DAVE\OneDrive\REFERENCE\WinBatch_Stuff\WshDialog</v>
      </c>
      <c r="C166" t="str">
        <f>[1]!GetFile(A166)</f>
        <v>WshDialog.vbs</v>
      </c>
      <c r="D166">
        <v>8273</v>
      </c>
      <c r="E166" s="7">
        <v>42598.078333333331</v>
      </c>
      <c r="F166" s="7">
        <v>38303.086111111108</v>
      </c>
      <c r="G166" s="7">
        <v>41928.60083333333</v>
      </c>
    </row>
    <row r="167" spans="1:7" x14ac:dyDescent="0.25">
      <c r="A167" t="s">
        <v>227</v>
      </c>
      <c r="B167" t="str">
        <f>[1]!GetFolder(A167)</f>
        <v>C:\Users\DAVE\OneDrive\REFERENCE\Windows_7\gshultz_V7R_1-22</v>
      </c>
      <c r="C167" t="str">
        <f>[1]!GetFile(A167)</f>
        <v>CreateCanonical.vbs</v>
      </c>
      <c r="D167">
        <v>578</v>
      </c>
      <c r="E167" s="7">
        <v>42598.078611111108</v>
      </c>
      <c r="F167" s="7">
        <v>40198.492314814815</v>
      </c>
      <c r="G167" s="7">
        <v>41928.600856481484</v>
      </c>
    </row>
    <row r="168" spans="1:7" x14ac:dyDescent="0.25">
      <c r="A168" t="s">
        <v>226</v>
      </c>
      <c r="B168" t="str">
        <f>[1]!GetFolder(A168)</f>
        <v>C:\Users\Public\Documents\H_DEASE\UTIL_from_ZAPHOD42</v>
      </c>
      <c r="C168" t="str">
        <f>[1]!GetFile(A168)</f>
        <v>NBIDDQL.VBS</v>
      </c>
      <c r="D168">
        <v>6121</v>
      </c>
      <c r="E168" s="7">
        <v>42596.886712962965</v>
      </c>
      <c r="F168" s="7">
        <v>40939.447615740741</v>
      </c>
      <c r="G168" s="7">
        <v>41940.500439814816</v>
      </c>
    </row>
    <row r="169" spans="1:7" x14ac:dyDescent="0.25">
      <c r="A169" t="s">
        <v>225</v>
      </c>
      <c r="B169" t="str">
        <f>[1]!GetFolder(A169)</f>
        <v>C:\Users\Public\Documents\NOLANB\BACKUPS\_Misc_Backups\UTIL_DAGDEV\UTIL_Milestone_20140129_113158</v>
      </c>
      <c r="C169" t="str">
        <f>[1]!GetFile(A169)</f>
        <v>NBIDDQL.VBS</v>
      </c>
      <c r="D169">
        <v>6121</v>
      </c>
      <c r="E169" s="7">
        <v>42597.189212962963</v>
      </c>
      <c r="F169" s="7">
        <v>40939.447615740741</v>
      </c>
      <c r="G169" s="7">
        <v>42248.008298611108</v>
      </c>
    </row>
    <row r="170" spans="1:7" x14ac:dyDescent="0.25">
      <c r="A170" t="s">
        <v>224</v>
      </c>
      <c r="B170" t="str">
        <f>[1]!GetFolder(A170)</f>
        <v>C:\Users\Public\Documents\NOLANB\TASKS\DataEase_on_X64\Windows_Server_REFERENCE\CALL_OUT_UTIL_20130423_111142</v>
      </c>
      <c r="C170" t="str">
        <f>[1]!GetFile(A170)</f>
        <v>NBIDDQL.VBS</v>
      </c>
      <c r="D170">
        <v>6121</v>
      </c>
      <c r="E170" s="7">
        <v>42597.190578703703</v>
      </c>
      <c r="F170" s="7">
        <v>40939.530949074076</v>
      </c>
      <c r="G170" s="7">
        <v>41929.448113425926</v>
      </c>
    </row>
    <row r="171" spans="1:7" x14ac:dyDescent="0.25">
      <c r="A171" t="s">
        <v>223</v>
      </c>
      <c r="B171" t="str">
        <f>[1]!GetFolder(A171)</f>
        <v>C:\Users\Public\Documents\NOLANB\TASKS\DataEase_on_X64\Windows_Server_REFERENCE\UTIL_SQLSERVER2K</v>
      </c>
      <c r="C171" t="str">
        <f>[1]!GetFile(A171)</f>
        <v>NBIDDQL.VBS</v>
      </c>
      <c r="D171">
        <v>6121</v>
      </c>
      <c r="E171" s="7">
        <v>42597.191145833334</v>
      </c>
      <c r="F171" s="7">
        <v>40939.489282407405</v>
      </c>
      <c r="G171" s="7">
        <v>41929.447708333333</v>
      </c>
    </row>
    <row r="172" spans="1:7" x14ac:dyDescent="0.25">
      <c r="A172" t="s">
        <v>222</v>
      </c>
      <c r="B172" t="str">
        <f>[1]!GetFolder(A172)</f>
        <v>C:\Users\Public\Documents\NOLANB\TASKS\_EMV_Credit_Card_Processing\_Deliverables_Prep\UTIL_ZAPHOD42_20160309_085628</v>
      </c>
      <c r="C172" t="str">
        <f>[1]!GetFile(A172)</f>
        <v>NBIDDQL.VBS</v>
      </c>
      <c r="D172">
        <v>6121</v>
      </c>
      <c r="E172" s="7">
        <v>42597.235011574077</v>
      </c>
      <c r="F172" s="7">
        <v>40939.405949074076</v>
      </c>
      <c r="G172" s="7">
        <v>40939.405949074076</v>
      </c>
    </row>
    <row r="173" spans="1:7" x14ac:dyDescent="0.25">
      <c r="A173" t="s">
        <v>221</v>
      </c>
      <c r="B173" t="str">
        <f>[1]!GetFolder(A173)</f>
        <v>C:\Users\Public\Documents\NOLANB\TASKS\_PTI_Gate_2016\UTIL_Rock_Hill</v>
      </c>
      <c r="C173" t="str">
        <f>[1]!GetFile(A173)</f>
        <v>NBIDDQL.VBS</v>
      </c>
      <c r="D173">
        <v>6121</v>
      </c>
      <c r="E173" s="7">
        <v>42597.142025462963</v>
      </c>
      <c r="F173" s="7">
        <v>40939.447615740741</v>
      </c>
      <c r="G173" s="7">
        <v>40939.447615740741</v>
      </c>
    </row>
    <row r="174" spans="1:7" x14ac:dyDescent="0.25">
      <c r="A174" t="s">
        <v>220</v>
      </c>
      <c r="B174" t="str">
        <f>[1]!GetFolder(A174)</f>
        <v>C:\Users\Public\Documents\NOLANB\_Installation_Packages\Remote\2013\20131016\REPORTS\UTIL_20130919_150654</v>
      </c>
      <c r="C174" t="str">
        <f>[1]!GetFile(A174)</f>
        <v>NBIDDQL.VBS</v>
      </c>
      <c r="D174">
        <v>6121</v>
      </c>
      <c r="E174" s="7">
        <v>42597.883136574077</v>
      </c>
      <c r="F174" s="7">
        <v>40939.489282407405</v>
      </c>
      <c r="G174" s="7">
        <v>41929.418819444443</v>
      </c>
    </row>
    <row r="175" spans="1:7" x14ac:dyDescent="0.25">
      <c r="A175" t="s">
        <v>219</v>
      </c>
      <c r="B175" t="str">
        <f>[1]!GetFolder(A175)</f>
        <v>C:\Users\Public\Documents\NOLANB\_Installation_Packages\UTIL_Reference</v>
      </c>
      <c r="C175" t="str">
        <f>[1]!GetFile(A175)</f>
        <v>NBIDDQL.VBS</v>
      </c>
      <c r="D175">
        <v>6121</v>
      </c>
      <c r="E175" s="7">
        <v>42596.989664351851</v>
      </c>
      <c r="F175" s="7">
        <v>40939.447615740741</v>
      </c>
      <c r="G175" s="7">
        <v>41929.419548611113</v>
      </c>
    </row>
    <row r="176" spans="1:7" x14ac:dyDescent="0.25">
      <c r="A176" t="s">
        <v>218</v>
      </c>
      <c r="B176" t="str">
        <f>[1]!GetFolder(A176)</f>
        <v>C:\Users\Public\Documents\Other_Clients\Justice_Marty\01137_Inspection_Worksheet\Experiments</v>
      </c>
      <c r="C176" t="str">
        <f>[1]!GetFile(A176)</f>
        <v>hey0425.VBS</v>
      </c>
      <c r="D176">
        <v>5927</v>
      </c>
      <c r="E176" s="7">
        <v>42597.159548611111</v>
      </c>
      <c r="F176" s="7">
        <v>39679.588796296295</v>
      </c>
      <c r="G176" s="7">
        <v>39679.576435185183</v>
      </c>
    </row>
    <row r="177" spans="1:7" x14ac:dyDescent="0.25">
      <c r="A177" t="s">
        <v>217</v>
      </c>
      <c r="B177" t="str">
        <f>[1]!GetFolder(A177)</f>
        <v>C:\Users\Public\Documents\Other_Clients\Justice_Marty\01137_Inspection_Worksheet\Experiments</v>
      </c>
      <c r="C177" t="str">
        <f>[1]!GetFile(A177)</f>
        <v>tips0719.VBS</v>
      </c>
      <c r="D177">
        <v>6231</v>
      </c>
      <c r="E177" s="7">
        <v>42597.159583333334</v>
      </c>
      <c r="F177" s="7">
        <v>39679.524004629631</v>
      </c>
      <c r="G177" s="7">
        <v>39679.494317129633</v>
      </c>
    </row>
    <row r="178" spans="1:7" x14ac:dyDescent="0.25">
      <c r="A178" t="s">
        <v>216</v>
      </c>
      <c r="B178" t="str">
        <f>[1]!GetFolder(A178)</f>
        <v>C:\UTIL</v>
      </c>
      <c r="C178" t="str">
        <f>[1]!GetFile(A178)</f>
        <v>NBIDDQL.VBS</v>
      </c>
      <c r="D178">
        <v>6121</v>
      </c>
      <c r="E178" s="7">
        <v>42378.136562500003</v>
      </c>
      <c r="F178" s="7">
        <v>40939.447615740741</v>
      </c>
      <c r="G178" s="7">
        <v>41952.617349537039</v>
      </c>
    </row>
    <row r="179" spans="1:7" x14ac:dyDescent="0.25">
      <c r="A179" t="s">
        <v>215</v>
      </c>
      <c r="B179" t="str">
        <f>[1]!GetFolder(A179)</f>
        <v>C:\Windows\System32</v>
      </c>
      <c r="C179" t="str">
        <f>[1]!GetFile(A179)</f>
        <v>slmgr.vbs</v>
      </c>
      <c r="D179">
        <v>113629</v>
      </c>
      <c r="E179" s="7">
        <v>42622.225925925923</v>
      </c>
      <c r="F179" s="7">
        <v>39974.693611111114</v>
      </c>
      <c r="G179" s="7">
        <v>39974.693611111114</v>
      </c>
    </row>
    <row r="180" spans="1:7" x14ac:dyDescent="0.25">
      <c r="A180" t="s">
        <v>214</v>
      </c>
      <c r="B180" t="str">
        <f>[1]!GetFolder(A180)</f>
        <v>C:\Windows\System32</v>
      </c>
      <c r="C180" t="str">
        <f>[1]!GetFile(A180)</f>
        <v>winrm.vbs</v>
      </c>
      <c r="D180">
        <v>204105</v>
      </c>
      <c r="E180" s="7">
        <v>42624.19935185185</v>
      </c>
      <c r="F180" s="7">
        <v>41533.107222222221</v>
      </c>
      <c r="G180" s="7">
        <v>42618.53297453704</v>
      </c>
    </row>
    <row r="181" spans="1:7" x14ac:dyDescent="0.25">
      <c r="A181" t="s">
        <v>213</v>
      </c>
      <c r="B181" t="str">
        <f>[1]!GetFolder(A181)</f>
        <v>C:\Windows\System32\Printing_Admin_Scripts\en-US</v>
      </c>
      <c r="C181" t="str">
        <f>[1]!GetFile(A181)</f>
        <v>prncnfg.vbs</v>
      </c>
      <c r="D181">
        <v>105940</v>
      </c>
      <c r="E181" s="7">
        <v>42378.168067129627</v>
      </c>
      <c r="F181" s="7">
        <v>40503.087708333333</v>
      </c>
      <c r="G181" s="7">
        <v>40503.087708333333</v>
      </c>
    </row>
    <row r="182" spans="1:7" x14ac:dyDescent="0.25">
      <c r="A182" t="s">
        <v>212</v>
      </c>
      <c r="B182" t="str">
        <f>[1]!GetFolder(A182)</f>
        <v>C:\Windows\System32\Printing_Admin_Scripts\en-US</v>
      </c>
      <c r="C182" t="str">
        <f>[1]!GetFile(A182)</f>
        <v>prndrvr.vbs</v>
      </c>
      <c r="D182">
        <v>51312</v>
      </c>
      <c r="E182" s="7">
        <v>42378.168067129627</v>
      </c>
      <c r="F182" s="7">
        <v>40503.087708333333</v>
      </c>
      <c r="G182" s="7">
        <v>40503.087708333333</v>
      </c>
    </row>
    <row r="183" spans="1:7" x14ac:dyDescent="0.25">
      <c r="A183" t="s">
        <v>211</v>
      </c>
      <c r="B183" t="str">
        <f>[1]!GetFolder(A183)</f>
        <v>C:\Windows\System32\Printing_Admin_Scripts\en-US</v>
      </c>
      <c r="C183" t="str">
        <f>[1]!GetFile(A183)</f>
        <v>prnjobs.vbs</v>
      </c>
      <c r="D183">
        <v>69882</v>
      </c>
      <c r="E183" s="7">
        <v>42378.168067129627</v>
      </c>
      <c r="F183" s="7">
        <v>40503.087708333333</v>
      </c>
      <c r="G183" s="7">
        <v>40503.087708333333</v>
      </c>
    </row>
    <row r="184" spans="1:7" x14ac:dyDescent="0.25">
      <c r="A184" t="s">
        <v>210</v>
      </c>
      <c r="B184" t="str">
        <f>[1]!GetFolder(A184)</f>
        <v>C:\Windows\System32\Printing_Admin_Scripts\en-US</v>
      </c>
      <c r="C184" t="str">
        <f>[1]!GetFile(A184)</f>
        <v>prnmngr.vbs</v>
      </c>
      <c r="D184">
        <v>81048</v>
      </c>
      <c r="E184" s="7">
        <v>42378.168067129627</v>
      </c>
      <c r="F184" s="7">
        <v>40503.087708333333</v>
      </c>
      <c r="G184" s="7">
        <v>40503.087708333333</v>
      </c>
    </row>
    <row r="185" spans="1:7" x14ac:dyDescent="0.25">
      <c r="A185" t="s">
        <v>209</v>
      </c>
      <c r="B185" t="str">
        <f>[1]!GetFolder(A185)</f>
        <v>C:\Windows\System32\Printing_Admin_Scripts\en-US</v>
      </c>
      <c r="C185" t="str">
        <f>[1]!GetFile(A185)</f>
        <v>prnport.vbs</v>
      </c>
      <c r="D185">
        <v>56756</v>
      </c>
      <c r="E185" s="7">
        <v>42378.168067129627</v>
      </c>
      <c r="F185" s="7">
        <v>40503.087708333333</v>
      </c>
      <c r="G185" s="7">
        <v>40503.087708333333</v>
      </c>
    </row>
    <row r="186" spans="1:7" x14ac:dyDescent="0.25">
      <c r="A186" t="s">
        <v>208</v>
      </c>
      <c r="B186" t="str">
        <f>[1]!GetFolder(A186)</f>
        <v>C:\Windows\System32\Printing_Admin_Scripts\en-US</v>
      </c>
      <c r="C186" t="str">
        <f>[1]!GetFile(A186)</f>
        <v>prnqctl.vbs</v>
      </c>
      <c r="D186">
        <v>51462</v>
      </c>
      <c r="E186" s="7">
        <v>42378.168067129627</v>
      </c>
      <c r="F186" s="7">
        <v>40503.087708333333</v>
      </c>
      <c r="G186" s="7">
        <v>40503.087708333333</v>
      </c>
    </row>
    <row r="187" spans="1:7" x14ac:dyDescent="0.25">
      <c r="A187" t="s">
        <v>207</v>
      </c>
      <c r="B187" t="str">
        <f>[1]!GetFolder(A187)</f>
        <v>C:\Windows\System32\Printing_Admin_Scripts\en-US</v>
      </c>
      <c r="C187" t="str">
        <f>[1]!GetFile(A187)</f>
        <v>pubprn.vbs</v>
      </c>
      <c r="D187">
        <v>7418</v>
      </c>
      <c r="E187" s="7">
        <v>42378.168067129627</v>
      </c>
      <c r="F187" s="7">
        <v>40503.087708333333</v>
      </c>
      <c r="G187" s="7">
        <v>40503.087708333333</v>
      </c>
    </row>
    <row r="188" spans="1:7" x14ac:dyDescent="0.25">
      <c r="A188" t="s">
        <v>206</v>
      </c>
      <c r="B188" t="str">
        <f>[1]!GetFolder(A188)</f>
        <v>C:\Windows\SysWOW64</v>
      </c>
      <c r="C188" t="str">
        <f>[1]!GetFile(A188)</f>
        <v>slmgr.vbs</v>
      </c>
      <c r="D188">
        <v>113629</v>
      </c>
      <c r="E188" s="7">
        <v>42622.225925925923</v>
      </c>
      <c r="F188" s="7">
        <v>39974.693611111114</v>
      </c>
      <c r="G188" s="7">
        <v>39974.693611111114</v>
      </c>
    </row>
    <row r="189" spans="1:7" x14ac:dyDescent="0.25">
      <c r="A189" t="s">
        <v>205</v>
      </c>
      <c r="B189" t="str">
        <f>[1]!GetFolder(A189)</f>
        <v>C:\Windows\SysWOW64</v>
      </c>
      <c r="C189" t="str">
        <f>[1]!GetFile(A189)</f>
        <v>winrm.vbs</v>
      </c>
      <c r="D189">
        <v>204105</v>
      </c>
      <c r="E189" s="7">
        <v>42624.19935185185</v>
      </c>
      <c r="F189" s="7">
        <v>41533.107222222221</v>
      </c>
      <c r="G189" s="7">
        <v>42618.53297453704</v>
      </c>
    </row>
    <row r="190" spans="1:7" x14ac:dyDescent="0.25">
      <c r="A190" t="s">
        <v>204</v>
      </c>
      <c r="B190" t="str">
        <f>[1]!GetFolder(A190)</f>
        <v>C:\Windows\SysWOW64\Printing_Admin_Scripts\en-US</v>
      </c>
      <c r="C190" t="str">
        <f>[1]!GetFile(A190)</f>
        <v>prncnfg.vbs</v>
      </c>
      <c r="D190">
        <v>105940</v>
      </c>
      <c r="E190" s="7">
        <v>42378.168067129627</v>
      </c>
      <c r="F190" s="7">
        <v>40503.087708333333</v>
      </c>
      <c r="G190" s="7">
        <v>40503.087708333333</v>
      </c>
    </row>
    <row r="191" spans="1:7" x14ac:dyDescent="0.25">
      <c r="A191" t="s">
        <v>203</v>
      </c>
      <c r="B191" t="str">
        <f>[1]!GetFolder(A191)</f>
        <v>C:\Windows\SysWOW64\Printing_Admin_Scripts\en-US</v>
      </c>
      <c r="C191" t="str">
        <f>[1]!GetFile(A191)</f>
        <v>prndrvr.vbs</v>
      </c>
      <c r="D191">
        <v>51312</v>
      </c>
      <c r="E191" s="7">
        <v>42378.168067129627</v>
      </c>
      <c r="F191" s="7">
        <v>40503.087708333333</v>
      </c>
      <c r="G191" s="7">
        <v>40503.087708333333</v>
      </c>
    </row>
    <row r="192" spans="1:7" x14ac:dyDescent="0.25">
      <c r="A192" t="s">
        <v>202</v>
      </c>
      <c r="B192" t="str">
        <f>[1]!GetFolder(A192)</f>
        <v>C:\Windows\SysWOW64\Printing_Admin_Scripts\en-US</v>
      </c>
      <c r="C192" t="str">
        <f>[1]!GetFile(A192)</f>
        <v>prnjobs.vbs</v>
      </c>
      <c r="D192">
        <v>69882</v>
      </c>
      <c r="E192" s="7">
        <v>42378.168067129627</v>
      </c>
      <c r="F192" s="7">
        <v>40503.087708333333</v>
      </c>
      <c r="G192" s="7">
        <v>40503.087708333333</v>
      </c>
    </row>
    <row r="193" spans="1:7" x14ac:dyDescent="0.25">
      <c r="A193" t="s">
        <v>201</v>
      </c>
      <c r="B193" t="str">
        <f>[1]!GetFolder(A193)</f>
        <v>C:\Windows\SysWOW64\Printing_Admin_Scripts\en-US</v>
      </c>
      <c r="C193" t="str">
        <f>[1]!GetFile(A193)</f>
        <v>prnmngr.vbs</v>
      </c>
      <c r="D193">
        <v>81048</v>
      </c>
      <c r="E193" s="7">
        <v>42378.168067129627</v>
      </c>
      <c r="F193" s="7">
        <v>40503.087708333333</v>
      </c>
      <c r="G193" s="7">
        <v>40503.087708333333</v>
      </c>
    </row>
    <row r="194" spans="1:7" x14ac:dyDescent="0.25">
      <c r="A194" t="s">
        <v>200</v>
      </c>
      <c r="B194" t="str">
        <f>[1]!GetFolder(A194)</f>
        <v>C:\Windows\SysWOW64\Printing_Admin_Scripts\en-US</v>
      </c>
      <c r="C194" t="str">
        <f>[1]!GetFile(A194)</f>
        <v>prnport.vbs</v>
      </c>
      <c r="D194">
        <v>56756</v>
      </c>
      <c r="E194" s="7">
        <v>42378.168067129627</v>
      </c>
      <c r="F194" s="7">
        <v>40503.087708333333</v>
      </c>
      <c r="G194" s="7">
        <v>40503.087708333333</v>
      </c>
    </row>
    <row r="195" spans="1:7" x14ac:dyDescent="0.25">
      <c r="A195" t="s">
        <v>199</v>
      </c>
      <c r="B195" t="str">
        <f>[1]!GetFolder(A195)</f>
        <v>C:\Windows\SysWOW64\Printing_Admin_Scripts\en-US</v>
      </c>
      <c r="C195" t="str">
        <f>[1]!GetFile(A195)</f>
        <v>prnqctl.vbs</v>
      </c>
      <c r="D195">
        <v>51462</v>
      </c>
      <c r="E195" s="7">
        <v>42378.168067129627</v>
      </c>
      <c r="F195" s="7">
        <v>40503.087708333333</v>
      </c>
      <c r="G195" s="7">
        <v>40503.087708333333</v>
      </c>
    </row>
    <row r="196" spans="1:7" x14ac:dyDescent="0.25">
      <c r="A196" t="s">
        <v>198</v>
      </c>
      <c r="B196" t="str">
        <f>[1]!GetFolder(A196)</f>
        <v>C:\Windows\SysWOW64\Printing_Admin_Scripts\en-US</v>
      </c>
      <c r="C196" t="str">
        <f>[1]!GetFile(A196)</f>
        <v>pubprn.vbs</v>
      </c>
      <c r="D196">
        <v>7418</v>
      </c>
      <c r="E196" s="7">
        <v>42378.168067129627</v>
      </c>
      <c r="F196" s="7">
        <v>40503.087708333333</v>
      </c>
      <c r="G196" s="7">
        <v>40503.087708333333</v>
      </c>
    </row>
    <row r="197" spans="1:7" x14ac:dyDescent="0.25">
      <c r="A197" t="s">
        <v>197</v>
      </c>
      <c r="B197" t="str">
        <f>[1]!GetFolder(A197)</f>
        <v>C:\Windows\winsxs\amd64_microsoft-windows-iis-legacyscripts_31bf3856ad364e35_6.1.7600.16385_none_da3b5e9090e80564</v>
      </c>
      <c r="C197" t="str">
        <f>[1]!GetFile(A197)</f>
        <v>adsutil.vbs</v>
      </c>
      <c r="D197">
        <v>98133</v>
      </c>
      <c r="E197" s="7">
        <v>42378.171180555553</v>
      </c>
      <c r="F197" s="7">
        <v>39974.651817129627</v>
      </c>
      <c r="G197" s="7">
        <v>40007.659479166665</v>
      </c>
    </row>
    <row r="198" spans="1:7" x14ac:dyDescent="0.25">
      <c r="A198" t="s">
        <v>196</v>
      </c>
      <c r="B198" t="str">
        <f>[1]!GetFolder(A198)</f>
        <v>C:\Windows\winsxs\amd64_microsoft-windows-iis-legacyscripts_31bf3856ad364e35_6.1.7600.16385_none_da3b5e9090e80564</v>
      </c>
      <c r="C198" t="str">
        <f>[1]!GetFile(A198)</f>
        <v>IIsExt.vbs</v>
      </c>
      <c r="D198">
        <v>41401</v>
      </c>
      <c r="E198" s="7">
        <v>42378.171180555553</v>
      </c>
      <c r="F198" s="7">
        <v>39974.651909722219</v>
      </c>
      <c r="G198" s="7">
        <v>40007.659479166665</v>
      </c>
    </row>
    <row r="199" spans="1:7" x14ac:dyDescent="0.25">
      <c r="A199" t="s">
        <v>195</v>
      </c>
      <c r="B199" t="str">
        <f>[1]!GetFolder(A199)</f>
        <v>C:\Windows\winsxs\amd64_microsoft-windows-nettrace-netsh-helper_31bf3856ad364e35_6.1.7600.16385_none_f72251fe8a04e1e5</v>
      </c>
      <c r="C199" t="str">
        <f>[1]!GetFile(A199)</f>
        <v>gatherNetworkInfo.vbs</v>
      </c>
      <c r="D199">
        <v>40552</v>
      </c>
      <c r="E199" s="7">
        <v>42624.222627314812</v>
      </c>
      <c r="F199" s="7">
        <v>39974.650277777779</v>
      </c>
      <c r="G199" s="7">
        <v>39974.650277777779</v>
      </c>
    </row>
    <row r="200" spans="1:7" x14ac:dyDescent="0.25">
      <c r="A200" t="s">
        <v>194</v>
      </c>
      <c r="B200" t="str">
        <f>[1]!GetFolder(A200)</f>
        <v>C:\Windows\winsxs\amd64_microsoft-windows-p..inscripts.resources_31bf3856ad364e35_6.1.7600.16385_en-us_6aa2519d66015923</v>
      </c>
      <c r="C200" t="str">
        <f>[1]!GetFile(A200)</f>
        <v>prncnfg.vbs</v>
      </c>
      <c r="D200">
        <v>105940</v>
      </c>
      <c r="E200" s="7">
        <v>42378.16611111111</v>
      </c>
      <c r="F200" s="7">
        <v>40503.087696759256</v>
      </c>
      <c r="G200" s="7">
        <v>40503.087696759256</v>
      </c>
    </row>
    <row r="201" spans="1:7" x14ac:dyDescent="0.25">
      <c r="A201" t="s">
        <v>193</v>
      </c>
      <c r="B201" t="str">
        <f>[1]!GetFolder(A201)</f>
        <v>C:\Windows\winsxs\amd64_microsoft-windows-p..inscripts.resources_31bf3856ad364e35_6.1.7600.16385_en-us_6aa2519d66015923</v>
      </c>
      <c r="C201" t="str">
        <f>[1]!GetFile(A201)</f>
        <v>prndrvr.vbs</v>
      </c>
      <c r="D201">
        <v>51312</v>
      </c>
      <c r="E201" s="7">
        <v>42378.16611111111</v>
      </c>
      <c r="F201" s="7">
        <v>40503.087696759256</v>
      </c>
      <c r="G201" s="7">
        <v>40503.087696759256</v>
      </c>
    </row>
    <row r="202" spans="1:7" x14ac:dyDescent="0.25">
      <c r="A202" t="s">
        <v>192</v>
      </c>
      <c r="B202" t="str">
        <f>[1]!GetFolder(A202)</f>
        <v>C:\Windows\winsxs\amd64_microsoft-windows-p..inscripts.resources_31bf3856ad364e35_6.1.7600.16385_en-us_6aa2519d66015923</v>
      </c>
      <c r="C202" t="str">
        <f>[1]!GetFile(A202)</f>
        <v>prnjobs.vbs</v>
      </c>
      <c r="D202">
        <v>69882</v>
      </c>
      <c r="E202" s="7">
        <v>42378.166122685187</v>
      </c>
      <c r="F202" s="7">
        <v>40503.087696759256</v>
      </c>
      <c r="G202" s="7">
        <v>40503.087696759256</v>
      </c>
    </row>
    <row r="203" spans="1:7" x14ac:dyDescent="0.25">
      <c r="A203" t="s">
        <v>191</v>
      </c>
      <c r="B203" t="str">
        <f>[1]!GetFolder(A203)</f>
        <v>C:\Windows\winsxs\amd64_microsoft-windows-p..inscripts.resources_31bf3856ad364e35_6.1.7600.16385_en-us_6aa2519d66015923</v>
      </c>
      <c r="C203" t="str">
        <f>[1]!GetFile(A203)</f>
        <v>prnmngr.vbs</v>
      </c>
      <c r="D203">
        <v>81048</v>
      </c>
      <c r="E203" s="7">
        <v>42378.166122685187</v>
      </c>
      <c r="F203" s="7">
        <v>40503.087696759256</v>
      </c>
      <c r="G203" s="7">
        <v>40503.087696759256</v>
      </c>
    </row>
    <row r="204" spans="1:7" x14ac:dyDescent="0.25">
      <c r="A204" t="s">
        <v>190</v>
      </c>
      <c r="B204" t="str">
        <f>[1]!GetFolder(A204)</f>
        <v>C:\Windows\winsxs\amd64_microsoft-windows-p..inscripts.resources_31bf3856ad364e35_6.1.7600.16385_en-us_6aa2519d66015923</v>
      </c>
      <c r="C204" t="str">
        <f>[1]!GetFile(A204)</f>
        <v>prnport.vbs</v>
      </c>
      <c r="D204">
        <v>56756</v>
      </c>
      <c r="E204" s="7">
        <v>42378.166122685187</v>
      </c>
      <c r="F204" s="7">
        <v>40503.087696759256</v>
      </c>
      <c r="G204" s="7">
        <v>40503.087696759256</v>
      </c>
    </row>
    <row r="205" spans="1:7" x14ac:dyDescent="0.25">
      <c r="A205" t="s">
        <v>189</v>
      </c>
      <c r="B205" t="str">
        <f>[1]!GetFolder(A205)</f>
        <v>C:\Windows\winsxs\amd64_microsoft-windows-p..inscripts.resources_31bf3856ad364e35_6.1.7600.16385_en-us_6aa2519d66015923</v>
      </c>
      <c r="C205" t="str">
        <f>[1]!GetFile(A205)</f>
        <v>prnqctl.vbs</v>
      </c>
      <c r="D205">
        <v>51462</v>
      </c>
      <c r="E205" s="7">
        <v>42378.166122685187</v>
      </c>
      <c r="F205" s="7">
        <v>40503.087696759256</v>
      </c>
      <c r="G205" s="7">
        <v>40503.087696759256</v>
      </c>
    </row>
    <row r="206" spans="1:7" x14ac:dyDescent="0.25">
      <c r="A206" t="s">
        <v>188</v>
      </c>
      <c r="B206" t="str">
        <f>[1]!GetFolder(A206)</f>
        <v>C:\Windows\winsxs\amd64_microsoft-windows-p..inscripts.resources_31bf3856ad364e35_6.1.7600.16385_en-us_6aa2519d66015923</v>
      </c>
      <c r="C206" t="str">
        <f>[1]!GetFile(A206)</f>
        <v>pubprn.vbs</v>
      </c>
      <c r="D206">
        <v>7418</v>
      </c>
      <c r="E206" s="7">
        <v>42378.166122685187</v>
      </c>
      <c r="F206" s="7">
        <v>40503.087696759256</v>
      </c>
      <c r="G206" s="7">
        <v>40503.087696759256</v>
      </c>
    </row>
    <row r="207" spans="1:7" x14ac:dyDescent="0.25">
      <c r="A207" t="s">
        <v>187</v>
      </c>
      <c r="B207" t="str">
        <f>[1]!GetFolder(A207)</f>
        <v>C:\Windows\winsxs\amd64_microsoft-windows-security-spp-tools_31bf3856ad364e35_6.1.7600.16385_none_a18e37c5d8d164ed</v>
      </c>
      <c r="C207" t="str">
        <f>[1]!GetFile(A207)</f>
        <v>slmgr.vbs</v>
      </c>
      <c r="D207">
        <v>113629</v>
      </c>
      <c r="E207" s="7">
        <v>42622.229722222219</v>
      </c>
      <c r="F207" s="7">
        <v>39974.66611111111</v>
      </c>
      <c r="G207" s="7">
        <v>39974.66611111111</v>
      </c>
    </row>
    <row r="208" spans="1:7" x14ac:dyDescent="0.25">
      <c r="A208" t="s">
        <v>186</v>
      </c>
      <c r="B208" t="str">
        <f>[1]!GetFolder(A208)</f>
        <v>C:\Windows\winsxs\amd64_microsoft-windows-w..for-management-core_31bf3856ad364e35_6.1.7601.17514_none_288b7acec3a75696</v>
      </c>
      <c r="C208" t="str">
        <f>[1]!GetFile(A208)</f>
        <v>winrm.vbs</v>
      </c>
      <c r="D208">
        <v>201034</v>
      </c>
      <c r="E208" s="7">
        <v>42534.770590277774</v>
      </c>
      <c r="F208" s="7">
        <v>39974.667291666665</v>
      </c>
      <c r="G208" s="7">
        <v>40007.745254629626</v>
      </c>
    </row>
    <row r="209" spans="1:7" x14ac:dyDescent="0.25">
      <c r="A209" t="s">
        <v>185</v>
      </c>
      <c r="B209" t="str">
        <f>[1]!GetFolder(A209)</f>
        <v>C:\Windows\winsxs\amd64_microsoft-windows-w..for-management-core_31bf3856ad364e35_6.1.7601.18619_none_2890675ec3a2ec11</v>
      </c>
      <c r="C209" t="str">
        <f>[1]!GetFile(A209)</f>
        <v>winrm.vbs</v>
      </c>
      <c r="D209">
        <v>201034</v>
      </c>
      <c r="E209" s="7">
        <v>42534.770590277774</v>
      </c>
      <c r="F209" s="7">
        <v>39974.667291666665</v>
      </c>
      <c r="G209" s="7">
        <v>40007.745254629626</v>
      </c>
    </row>
    <row r="210" spans="1:7" x14ac:dyDescent="0.25">
      <c r="A210" t="s">
        <v>184</v>
      </c>
      <c r="B210" t="str">
        <f>[1]!GetFolder(A210)</f>
        <v>C:\Windows\winsxs\amd64_microsoft-windows-w..for-management-core_31bf3856ad364e35_6.1.7601.22826_none_290c3545dccb58ee</v>
      </c>
      <c r="C210" t="str">
        <f>[1]!GetFile(A210)</f>
        <v>winrm.vbs</v>
      </c>
      <c r="D210">
        <v>201034</v>
      </c>
      <c r="E210" s="7">
        <v>42534.770590277774</v>
      </c>
      <c r="F210" s="7">
        <v>39974.667291666665</v>
      </c>
      <c r="G210" s="7">
        <v>40007.745254629626</v>
      </c>
    </row>
    <row r="211" spans="1:7" x14ac:dyDescent="0.25">
      <c r="A211" t="s">
        <v>183</v>
      </c>
      <c r="B211" t="str">
        <f>[1]!GetFolder(A211)</f>
        <v>C:\Windows\winsxs\amd64_microsoft-windows-w..for-management-core_31bf3856ad364e35_7.2.7601.16406_none_e237a9baed4f587b</v>
      </c>
      <c r="C211" t="str">
        <f>[1]!GetFile(A211)</f>
        <v>winrm.vbs</v>
      </c>
      <c r="D211">
        <v>204105</v>
      </c>
      <c r="E211" s="7">
        <v>42624.199872685182</v>
      </c>
      <c r="F211" s="7">
        <v>41533.107222222221</v>
      </c>
      <c r="G211" s="7">
        <v>42618.53297453704</v>
      </c>
    </row>
    <row r="212" spans="1:7" x14ac:dyDescent="0.25">
      <c r="A212" t="s">
        <v>182</v>
      </c>
      <c r="B212" t="str">
        <f>[1]!GetFolder(A212)</f>
        <v>C:\Windows\winsxs\wow64_microsoft-windows-iis-legacyscripts_31bf3856ad364e35_6.1.7600.16385_none_e49008e2c548c75f</v>
      </c>
      <c r="C212" t="str">
        <f>[1]!GetFile(A212)</f>
        <v>IIsExt.vbs</v>
      </c>
      <c r="D212">
        <v>41401</v>
      </c>
      <c r="E212" s="7">
        <v>42378.184537037036</v>
      </c>
      <c r="F212" s="7">
        <v>39974.681562500002</v>
      </c>
      <c r="G212" s="7">
        <v>40007.669386574074</v>
      </c>
    </row>
    <row r="213" spans="1:7" x14ac:dyDescent="0.25">
      <c r="A213" t="s">
        <v>181</v>
      </c>
      <c r="B213" t="str">
        <f>[1]!GetFolder(A213)</f>
        <v>C:\Windows\winsxs\wow64_microsoft-windows-w..for-management-core_31bf3856ad364e35_6.1.7601.17514_none_32e02520f8081891</v>
      </c>
      <c r="C213" t="str">
        <f>[1]!GetFile(A213)</f>
        <v>winrm.vbs</v>
      </c>
      <c r="D213">
        <v>201034</v>
      </c>
      <c r="E213" s="7">
        <v>42534.769849537035</v>
      </c>
      <c r="F213" s="7">
        <v>39974.694988425923</v>
      </c>
      <c r="G213" s="7">
        <v>40007.712835648148</v>
      </c>
    </row>
    <row r="214" spans="1:7" x14ac:dyDescent="0.25">
      <c r="A214" t="s">
        <v>180</v>
      </c>
      <c r="B214" t="str">
        <f>[1]!GetFolder(A214)</f>
        <v>C:\Windows\winsxs\wow64_microsoft-windows-w..for-management-core_31bf3856ad364e35_6.1.7601.18619_none_32e511b0f803ae0c</v>
      </c>
      <c r="C214" t="str">
        <f>[1]!GetFile(A214)</f>
        <v>winrm.vbs</v>
      </c>
      <c r="D214">
        <v>201034</v>
      </c>
      <c r="E214" s="7">
        <v>42534.769849537035</v>
      </c>
      <c r="F214" s="7">
        <v>39974.694988425923</v>
      </c>
      <c r="G214" s="7">
        <v>40007.712835648148</v>
      </c>
    </row>
    <row r="215" spans="1:7" x14ac:dyDescent="0.25">
      <c r="A215" t="s">
        <v>179</v>
      </c>
      <c r="B215" t="str">
        <f>[1]!GetFolder(A215)</f>
        <v>C:\Windows\winsxs\wow64_microsoft-windows-w..for-management-core_31bf3856ad364e35_6.1.7601.22826_none_3360df98112c1ae9</v>
      </c>
      <c r="C215" t="str">
        <f>[1]!GetFile(A215)</f>
        <v>winrm.vbs</v>
      </c>
      <c r="D215">
        <v>201034</v>
      </c>
      <c r="E215" s="7">
        <v>42534.769849537035</v>
      </c>
      <c r="F215" s="7">
        <v>39974.694988425923</v>
      </c>
      <c r="G215" s="7">
        <v>40007.712835648148</v>
      </c>
    </row>
    <row r="216" spans="1:7" x14ac:dyDescent="0.25">
      <c r="A216" t="s">
        <v>178</v>
      </c>
      <c r="B216" t="str">
        <f>[1]!GetFolder(A216)</f>
        <v>C:\Windows\winsxs\wow64_microsoft-windows-w..for-management-core_31bf3856ad364e35_7.2.7601.16406_none_ec8c540d21b01a76</v>
      </c>
      <c r="C216" t="str">
        <f>[1]!GetFile(A216)</f>
        <v>winrm.vbs</v>
      </c>
      <c r="D216">
        <v>204105</v>
      </c>
      <c r="E216" s="7">
        <v>42618.535115740742</v>
      </c>
      <c r="F216" s="7">
        <v>41533.107222222221</v>
      </c>
      <c r="G216" s="7">
        <v>42618.53297453704</v>
      </c>
    </row>
    <row r="217" spans="1:7" x14ac:dyDescent="0.25">
      <c r="A217" t="s">
        <v>177</v>
      </c>
      <c r="B217" t="str">
        <f>[1]!GetFolder(A217)</f>
        <v>C:\Windows\winsxs\x86_microsoft-windows-p..inscripts.resources_31bf3856ad364e35_6.1.7600.16385_en-us_0e83b619ada3e7ed</v>
      </c>
      <c r="C217" t="str">
        <f>[1]!GetFile(A217)</f>
        <v>prncnfg.vbs</v>
      </c>
      <c r="D217">
        <v>105940</v>
      </c>
      <c r="E217" s="7">
        <v>42378.168067129627</v>
      </c>
      <c r="F217" s="7">
        <v>40503.087708333333</v>
      </c>
      <c r="G217" s="7">
        <v>40503.087708333333</v>
      </c>
    </row>
    <row r="218" spans="1:7" x14ac:dyDescent="0.25">
      <c r="A218" t="s">
        <v>176</v>
      </c>
      <c r="B218" t="str">
        <f>[1]!GetFolder(A218)</f>
        <v>C:\Windows\winsxs\x86_microsoft-windows-p..inscripts.resources_31bf3856ad364e35_6.1.7600.16385_en-us_0e83b619ada3e7ed</v>
      </c>
      <c r="C218" t="str">
        <f>[1]!GetFile(A218)</f>
        <v>prndrvr.vbs</v>
      </c>
      <c r="D218">
        <v>51312</v>
      </c>
      <c r="E218" s="7">
        <v>42378.168067129627</v>
      </c>
      <c r="F218" s="7">
        <v>40503.087708333333</v>
      </c>
      <c r="G218" s="7">
        <v>40503.087708333333</v>
      </c>
    </row>
    <row r="219" spans="1:7" x14ac:dyDescent="0.25">
      <c r="A219" t="s">
        <v>175</v>
      </c>
      <c r="B219" t="str">
        <f>[1]!GetFolder(A219)</f>
        <v>C:\Windows\winsxs\x86_microsoft-windows-p..inscripts.resources_31bf3856ad364e35_6.1.7600.16385_en-us_0e83b619ada3e7ed</v>
      </c>
      <c r="C219" t="str">
        <f>[1]!GetFile(A219)</f>
        <v>prnjobs.vbs</v>
      </c>
      <c r="D219">
        <v>69882</v>
      </c>
      <c r="E219" s="7">
        <v>42378.168067129627</v>
      </c>
      <c r="F219" s="7">
        <v>40503.087708333333</v>
      </c>
      <c r="G219" s="7">
        <v>40503.087708333333</v>
      </c>
    </row>
    <row r="220" spans="1:7" x14ac:dyDescent="0.25">
      <c r="A220" t="s">
        <v>174</v>
      </c>
      <c r="B220" t="str">
        <f>[1]!GetFolder(A220)</f>
        <v>C:\Windows\winsxs\x86_microsoft-windows-p..inscripts.resources_31bf3856ad364e35_6.1.7600.16385_en-us_0e83b619ada3e7ed</v>
      </c>
      <c r="C220" t="str">
        <f>[1]!GetFile(A220)</f>
        <v>prnmngr.vbs</v>
      </c>
      <c r="D220">
        <v>81048</v>
      </c>
      <c r="E220" s="7">
        <v>42378.168067129627</v>
      </c>
      <c r="F220" s="7">
        <v>40503.087708333333</v>
      </c>
      <c r="G220" s="7">
        <v>40503.087708333333</v>
      </c>
    </row>
    <row r="221" spans="1:7" x14ac:dyDescent="0.25">
      <c r="A221" t="s">
        <v>173</v>
      </c>
      <c r="B221" t="str">
        <f>[1]!GetFolder(A221)</f>
        <v>C:\Windows\winsxs\x86_microsoft-windows-p..inscripts.resources_31bf3856ad364e35_6.1.7600.16385_en-us_0e83b619ada3e7ed</v>
      </c>
      <c r="C221" t="str">
        <f>[1]!GetFile(A221)</f>
        <v>prnport.vbs</v>
      </c>
      <c r="D221">
        <v>56756</v>
      </c>
      <c r="E221" s="7">
        <v>42378.168067129627</v>
      </c>
      <c r="F221" s="7">
        <v>40503.087708333333</v>
      </c>
      <c r="G221" s="7">
        <v>40503.087708333333</v>
      </c>
    </row>
    <row r="222" spans="1:7" x14ac:dyDescent="0.25">
      <c r="A222" t="s">
        <v>172</v>
      </c>
      <c r="B222" t="str">
        <f>[1]!GetFolder(A222)</f>
        <v>C:\Windows\winsxs\x86_microsoft-windows-p..inscripts.resources_31bf3856ad364e35_6.1.7600.16385_en-us_0e83b619ada3e7ed</v>
      </c>
      <c r="C222" t="str">
        <f>[1]!GetFile(A222)</f>
        <v>prnqctl.vbs</v>
      </c>
      <c r="D222">
        <v>51462</v>
      </c>
      <c r="E222" s="7">
        <v>42378.168067129627</v>
      </c>
      <c r="F222" s="7">
        <v>40503.087708333333</v>
      </c>
      <c r="G222" s="7">
        <v>40503.087708333333</v>
      </c>
    </row>
    <row r="223" spans="1:7" x14ac:dyDescent="0.25">
      <c r="A223" t="s">
        <v>171</v>
      </c>
      <c r="B223" t="str">
        <f>[1]!GetFolder(A223)</f>
        <v>C:\Windows\winsxs\x86_microsoft-windows-p..inscripts.resources_31bf3856ad364e35_6.1.7600.16385_en-us_0e83b619ada3e7ed</v>
      </c>
      <c r="C223" t="str">
        <f>[1]!GetFile(A223)</f>
        <v>pubprn.vbs</v>
      </c>
      <c r="D223">
        <v>7418</v>
      </c>
      <c r="E223" s="7">
        <v>42378.168067129627</v>
      </c>
      <c r="F223" s="7">
        <v>40503.087708333333</v>
      </c>
      <c r="G223" s="7">
        <v>40503.087708333333</v>
      </c>
    </row>
    <row r="224" spans="1:7" x14ac:dyDescent="0.25">
      <c r="A224" t="s">
        <v>170</v>
      </c>
      <c r="B224" t="str">
        <f>[1]!GetFolder(A224)</f>
        <v>C:\Windows\winsxs\x86_microsoft-windows-security-spp-tools_31bf3856ad364e35_6.1.7600.16385_none_456f9c422073f3b7</v>
      </c>
      <c r="C224" t="str">
        <f>[1]!GetFile(A224)</f>
        <v>slmgr.vbs</v>
      </c>
      <c r="D224">
        <v>113629</v>
      </c>
      <c r="E224" s="7">
        <v>42378.167349537034</v>
      </c>
      <c r="F224" s="7">
        <v>39974.693611111114</v>
      </c>
      <c r="G224" s="7">
        <v>39974.693611111114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Index</vt:lpstr>
      <vt:lpstr>_Index of Named Ranges</vt:lpstr>
      <vt:lpstr>Check List</vt:lpstr>
      <vt:lpstr>Inventory_WizardWrx_DLLServices</vt:lpstr>
      <vt:lpstr>Inventory_VisualBasicScripts</vt:lpstr>
      <vt:lpstr>__Workbook_Index</vt:lpstr>
      <vt:lpstr>Newest_DllServices_Config</vt:lpstr>
      <vt:lpstr>Status_Choices</vt:lpstr>
      <vt:lpstr>Task_Notes_Directory</vt:lpstr>
      <vt:lpstr>Task_Notes_File</vt:lpstr>
    </vt:vector>
  </TitlesOfParts>
  <Company>Simple Soft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Development Worksheets</dc:title>
  <dc:subject>AnyCSV, version 4.0</dc:subject>
  <dc:creator>David A. Gray</dc:creator>
  <cp:lastModifiedBy>David A. Gray</cp:lastModifiedBy>
  <dcterms:created xsi:type="dcterms:W3CDTF">2013-10-12T17:21:37Z</dcterms:created>
  <dcterms:modified xsi:type="dcterms:W3CDTF">2016-09-12T04:49:22Z</dcterms:modified>
</cp:coreProperties>
</file>