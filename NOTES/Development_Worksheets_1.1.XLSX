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 activeTab="2"/>
  </bookViews>
  <sheets>
    <sheet name="CP CSV Parser Local Variables" sheetId="1" r:id="rId1"/>
    <sheet name="AnyCSV Parameters" sheetId="2" r:id="rId2"/>
    <sheet name="Test Scenarios" sheetId="3" r:id="rId3"/>
  </sheets>
  <definedNames>
    <definedName name="Clase">'AnyCSV Parameters'!$D$3</definedName>
    <definedName name="Delimiter_Character_Count">'AnyCSV Parameters'!$G$17</definedName>
    <definedName name="Fully_Qualfied_Class">'AnyCSV Parameters'!$D$4</definedName>
    <definedName name="Grand_Count">'AnyCSV Parameters'!$G$18</definedName>
    <definedName name="Local_Namespace">'AnyCSV Parameters'!$D$2</definedName>
    <definedName name="Protect_Delimiter_Count">'AnyCSV Parameters'!$G$11</definedName>
    <definedName name="Root_Namespace">'AnyCSV Parameters'!$D$1</definedName>
  </definedNames>
  <calcPr calcId="145621"/>
</workbook>
</file>

<file path=xl/calcChain.xml><?xml version="1.0" encoding="utf-8"?>
<calcChain xmlns="http://schemas.openxmlformats.org/spreadsheetml/2006/main">
  <c r="D5" i="3" l="1"/>
  <c r="D4" i="3"/>
  <c r="D3" i="3"/>
  <c r="B5" i="3"/>
  <c r="B4" i="3"/>
  <c r="B3" i="3"/>
  <c r="M28" i="2" l="1"/>
  <c r="M27" i="2"/>
  <c r="M26" i="2"/>
  <c r="M21" i="2"/>
  <c r="M18" i="2"/>
  <c r="M17" i="2"/>
  <c r="M11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G17" i="2" l="1"/>
  <c r="G11" i="2"/>
  <c r="G18" i="2" s="1"/>
  <c r="D4" i="2" l="1"/>
  <c r="I16" i="2"/>
  <c r="J16" i="2" s="1"/>
  <c r="I15" i="2"/>
  <c r="J15" i="2" s="1"/>
  <c r="I14" i="2"/>
  <c r="J14" i="2" s="1"/>
  <c r="I13" i="2"/>
  <c r="J13" i="2" s="1"/>
  <c r="D16" i="2"/>
  <c r="C16" i="2"/>
  <c r="B16" i="2"/>
  <c r="D15" i="2"/>
  <c r="C15" i="2"/>
  <c r="B15" i="2"/>
  <c r="D14" i="2"/>
  <c r="C14" i="2"/>
  <c r="B14" i="2"/>
  <c r="D13" i="2"/>
  <c r="C13" i="2"/>
  <c r="B13" i="2"/>
  <c r="I12" i="2"/>
  <c r="J12" i="2" s="1"/>
  <c r="D12" i="2"/>
  <c r="C12" i="2"/>
  <c r="B12" i="2"/>
  <c r="I10" i="2"/>
  <c r="J10" i="2" s="1"/>
  <c r="I9" i="2"/>
  <c r="J9" i="2" s="1"/>
  <c r="I8" i="2"/>
  <c r="J8" i="2" s="1"/>
  <c r="B8" i="2"/>
  <c r="B9" i="2"/>
  <c r="B10" i="2"/>
  <c r="D10" i="2"/>
  <c r="D9" i="2"/>
  <c r="D8" i="2"/>
  <c r="C10" i="2"/>
  <c r="C9" i="2"/>
  <c r="C8" i="2"/>
  <c r="H16" i="2" l="1"/>
  <c r="M24" i="2"/>
  <c r="M22" i="2"/>
  <c r="M20" i="2"/>
  <c r="M16" i="2"/>
  <c r="M14" i="2"/>
  <c r="M12" i="2"/>
  <c r="M10" i="2"/>
  <c r="M8" i="2"/>
  <c r="M25" i="2"/>
  <c r="M23" i="2"/>
  <c r="M19" i="2"/>
  <c r="M15" i="2"/>
  <c r="M13" i="2"/>
  <c r="M9" i="2"/>
  <c r="H8" i="2"/>
  <c r="H10" i="2"/>
  <c r="H13" i="2"/>
  <c r="H15" i="2"/>
  <c r="H9" i="2"/>
  <c r="H12" i="2"/>
  <c r="H14" i="2"/>
</calcChain>
</file>

<file path=xl/sharedStrings.xml><?xml version="1.0" encoding="utf-8"?>
<sst xmlns="http://schemas.openxmlformats.org/spreadsheetml/2006/main" count="387" uniqueCount="171">
  <si>
    <t>+</t>
  </si>
  <si>
    <t>args</t>
  </si>
  <si>
    <t>{string[1]}</t>
  </si>
  <si>
    <t>string[]</t>
  </si>
  <si>
    <t>engine</t>
  </si>
  <si>
    <t>{Ideafixxxer.CsvParser.CsvParser}</t>
  </si>
  <si>
    <t>Ideafixxxer.CsvParser.CsvParser</t>
  </si>
  <si>
    <t>-</t>
  </si>
  <si>
    <t>astrParsedStrings</t>
  </si>
  <si>
    <t>{string[10][]}</t>
  </si>
  <si>
    <t>string[][]</t>
  </si>
  <si>
    <t>[0]</t>
  </si>
  <si>
    <t>{string[5]}</t>
  </si>
  <si>
    <t>This</t>
  </si>
  <si>
    <t>string</t>
  </si>
  <si>
    <t>[1]</t>
  </si>
  <si>
    <t>is</t>
  </si>
  <si>
    <t>[2]</t>
  </si>
  <si>
    <t>a</t>
  </si>
  <si>
    <t>[3]</t>
  </si>
  <si>
    <t>basic</t>
  </si>
  <si>
    <t>[4]</t>
  </si>
  <si>
    <t>test.</t>
  </si>
  <si>
    <t>{string[8]}</t>
  </si>
  <si>
    <t>test</t>
  </si>
  <si>
    <t>starts</t>
  </si>
  <si>
    <t>with</t>
  </si>
  <si>
    <t>[5]</t>
  </si>
  <si>
    <t>an</t>
  </si>
  <si>
    <t>[6]</t>
  </si>
  <si>
    <t>empty</t>
  </si>
  <si>
    <t>[7]</t>
  </si>
  <si>
    <t>string.</t>
  </si>
  <si>
    <t>ends</t>
  </si>
  <si>
    <t>field.</t>
  </si>
  <si>
    <t>{string[6]}</t>
  </si>
  <si>
    <t>This test</t>
  </si>
  <si>
    <t>quoted</t>
  </si>
  <si>
    <t>quoted string.</t>
  </si>
  <si>
    <t>contains an embedded</t>
  </si>
  <si>
    <t>{string[4]}</t>
  </si>
  <si>
    <t>test contains</t>
  </si>
  <si>
    <t>two</t>
  </si>
  <si>
    <t>quoted strings.</t>
  </si>
  <si>
    <t>contains a quoted string,</t>
  </si>
  <si>
    <t>followed by more</t>
  </si>
  <si>
    <t>text, both of which include commas.</t>
  </si>
  <si>
    <t>[8]</t>
  </si>
  <si>
    <t>{string[10]}</t>
  </si>
  <si>
    <t>,includes a little of this, and a little of that,</t>
  </si>
  <si>
    <t>to</t>
  </si>
  <si>
    <t>push</t>
  </si>
  <si>
    <t>the</t>
  </si>
  <si>
    <t>routine to its limits.</t>
  </si>
  <si>
    <t>[9]</t>
  </si>
  <si>
    <t>CN=RapidSSL CA</t>
  </si>
  <si>
    <t xml:space="preserve"> O=\GeoTrust"</t>
  </si>
  <si>
    <t xml:space="preserve"> Inc.\"	string_x000D_
		[3]	 C=US"</t>
  </si>
  <si>
    <t>strTestFileName</t>
  </si>
  <si>
    <t>CSV_Test_Strings.TXT</t>
  </si>
  <si>
    <t>cmdArgs</t>
  </si>
  <si>
    <t>Count = 2</t>
  </si>
  <si>
    <t>WizardWrx.ApplicationHelpers2.CmdLneArgsBasic</t>
  </si>
  <si>
    <t>strDeferredMessage</t>
  </si>
  <si>
    <t>null</t>
  </si>
  <si>
    <t>enmOutputFormat</t>
  </si>
  <si>
    <t>Verbose</t>
  </si>
  <si>
    <t>ConsoleUtility1.Program.OutputFormat</t>
  </si>
  <si>
    <t>THIS_METHOD_NAME</t>
  </si>
  <si>
    <t>Main</t>
  </si>
  <si>
    <t>+/-</t>
  </si>
  <si>
    <t>Level 1</t>
  </si>
  <si>
    <t>Level 2</t>
  </si>
  <si>
    <t>Level 3</t>
  </si>
  <si>
    <t>Value</t>
  </si>
  <si>
    <t>Type</t>
  </si>
  <si>
    <t>Decimal</t>
  </si>
  <si>
    <t>Hex</t>
  </si>
  <si>
    <t>Binary</t>
  </si>
  <si>
    <t>Character</t>
  </si>
  <si>
    <t>Description</t>
  </si>
  <si>
    <t>Double Quotation Mark</t>
  </si>
  <si>
    <t>Single Quotation Mark</t>
  </si>
  <si>
    <t>Backquote</t>
  </si>
  <si>
    <t>DOUBLE_QUOTE</t>
  </si>
  <si>
    <t>SINGLE_QUOTE</t>
  </si>
  <si>
    <t>BACK_QUOTE</t>
  </si>
  <si>
    <t>C# Constant</t>
  </si>
  <si>
    <t>Name</t>
  </si>
  <si>
    <t>Definition</t>
  </si>
  <si>
    <t>Escape</t>
  </si>
  <si>
    <t>COMMA</t>
  </si>
  <si>
    <t>Comma</t>
  </si>
  <si>
    <t>Usage</t>
  </si>
  <si>
    <t>Protect Delimiter</t>
  </si>
  <si>
    <t>Delimiter Character</t>
  </si>
  <si>
    <t>TAB</t>
  </si>
  <si>
    <t>VERTICAL_BAR</t>
  </si>
  <si>
    <t>CARAT</t>
  </si>
  <si>
    <t>SPACE</t>
  </si>
  <si>
    <t>Tab</t>
  </si>
  <si>
    <t>Vertical Bar</t>
  </si>
  <si>
    <t>Carat</t>
  </si>
  <si>
    <t>Space</t>
  </si>
  <si>
    <t>Character Properties</t>
  </si>
  <si>
    <t>VerticalBar</t>
  </si>
  <si>
    <t>DoubleQuote</t>
  </si>
  <si>
    <t>SingleQuote</t>
  </si>
  <si>
    <t>BackQuote</t>
  </si>
  <si>
    <t>Enumeration</t>
  </si>
  <si>
    <t>Member</t>
  </si>
  <si>
    <t>Fully Qualified</t>
  </si>
  <si>
    <t>Clase</t>
  </si>
  <si>
    <t>Fully Qualfied Class</t>
  </si>
  <si>
    <t>AnyCSV</t>
  </si>
  <si>
    <t>Parser</t>
  </si>
  <si>
    <t>Root Namespace</t>
  </si>
  <si>
    <t>Local Namespace</t>
  </si>
  <si>
    <t>WizardWrx</t>
  </si>
  <si>
    <t>Fully Qualified Name</t>
  </si>
  <si>
    <t>Protect Delimiter Count</t>
  </si>
  <si>
    <t>Delimiter Character Count</t>
  </si>
  <si>
    <t>Grand Count</t>
  </si>
  <si>
    <t>DelimiterChar</t>
  </si>
  <si>
    <t>GuardChar</t>
  </si>
  <si>
    <t>GuardDisposition</t>
  </si>
  <si>
    <t>Strip</t>
  </si>
  <si>
    <t>Keep</t>
  </si>
  <si>
    <t>TrimWhiteSpace</t>
  </si>
  <si>
    <t>Leave</t>
  </si>
  <si>
    <t>TrimLeading</t>
  </si>
  <si>
    <t>TrimTrailing</t>
  </si>
  <si>
    <t>TrimBoth</t>
  </si>
  <si>
    <t>DLM_DSP_COMMA</t>
  </si>
  <si>
    <t>Comma (, ASCII code 0x2C)</t>
  </si>
  <si>
    <t>DLM_DSP_TAB</t>
  </si>
  <si>
    <t>Tab (Horizontal Tab, ASCII code 0x09)</t>
  </si>
  <si>
    <t>DLM_DSP_VERTICAL_BAR</t>
  </si>
  <si>
    <t>Vertical Bar (|,  a. k. a. Pipe, ASCII code 0x7C)</t>
  </si>
  <si>
    <t>DLM_DSP_CARAT</t>
  </si>
  <si>
    <t>Carat (^, ASCII code 0x5E)</t>
  </si>
  <si>
    <t>DLM_DSP_SPACE</t>
  </si>
  <si>
    <t>Space, ASCII code 0x20)</t>
  </si>
  <si>
    <t>GRD_DSP_DBL_QUOTE</t>
  </si>
  <si>
    <t>Double Quotation Mark (", ASCII code 0x22)</t>
  </si>
  <si>
    <t>GRD_DSP_SGL_QUOTE</t>
  </si>
  <si>
    <t>Single Quotation Mark (', ASCII code 0x27)</t>
  </si>
  <si>
    <t>GRD_DSP_BCK_QUOTE</t>
  </si>
  <si>
    <t>Back Quotation Mark (`, ASCII code 0x60)</t>
  </si>
  <si>
    <t>Name (ID)</t>
  </si>
  <si>
    <t>Resource Strings for Error Messages</t>
  </si>
  <si>
    <t>Static Table</t>
  </si>
  <si>
    <t>Slot</t>
  </si>
  <si>
    <t>ProtectorMap</t>
  </si>
  <si>
    <t>DelimiterMap</t>
  </si>
  <si>
    <t>Resource String</t>
  </si>
  <si>
    <t>ID</t>
  </si>
  <si>
    <t>Text</t>
  </si>
  <si>
    <t>Scenario</t>
  </si>
  <si>
    <t>Synopsis</t>
  </si>
  <si>
    <t>Robust Parsing</t>
  </si>
  <si>
    <t>Keep Guards</t>
  </si>
  <si>
    <t>Trim Leading</t>
  </si>
  <si>
    <t>WizardWrx.AnyCSV.Parser.Parse</t>
  </si>
  <si>
    <t>Overload</t>
  </si>
  <si>
    <t>3-argument form</t>
  </si>
  <si>
    <t>4-argument form</t>
  </si>
  <si>
    <t>Delimiter</t>
  </si>
  <si>
    <t>Guard</t>
  </si>
  <si>
    <t>Strip (default)</t>
  </si>
  <si>
    <t>Keep 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</si>
</sst>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onsolas"/>
      <family val="2"/>
    </font>
    <font>
      <b/>
      <sz val="14"/>
      <color theme="0"/>
      <name val="Tahoma"/>
      <family val="2"/>
    </font>
    <font>
      <sz val="11"/>
      <color theme="1"/>
      <name val="Tahoma"/>
      <family val="2"/>
    </font>
    <font>
      <b/>
      <sz val="11"/>
      <color rgb="FFFFC000"/>
      <name val="Tahoma"/>
      <family val="2"/>
    </font>
    <font>
      <b/>
      <sz val="12"/>
      <color theme="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theme="2" tint="-0.89996032593768116"/>
      </top>
      <bottom style="thin">
        <color theme="2" tint="-0.89996032593768116"/>
      </bottom>
      <diagonal/>
    </border>
    <border>
      <left/>
      <right style="thin">
        <color theme="2" tint="-0.89996032593768116"/>
      </right>
      <top style="thin">
        <color theme="2" tint="-0.89996032593768116"/>
      </top>
      <bottom style="thin">
        <color theme="2" tint="-0.89996032593768116"/>
      </bottom>
      <diagonal/>
    </border>
    <border>
      <left style="thin">
        <color theme="8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8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3" borderId="5" xfId="0" applyFont="1" applyFill="1" applyBorder="1" applyAlignment="1">
      <alignment wrapText="1"/>
    </xf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1" fillId="6" borderId="12" xfId="0" applyFont="1" applyFill="1" applyBorder="1"/>
    <xf numFmtId="0" fontId="1" fillId="6" borderId="13" xfId="0" applyFont="1" applyFill="1" applyBorder="1"/>
    <xf numFmtId="0" fontId="0" fillId="7" borderId="12" xfId="0" applyFont="1" applyFill="1" applyBorder="1"/>
    <xf numFmtId="0" fontId="0" fillId="7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1" fillId="4" borderId="14" xfId="0" applyFont="1" applyFill="1" applyBorder="1"/>
    <xf numFmtId="0" fontId="1" fillId="4" borderId="15" xfId="0" applyFont="1" applyFill="1" applyBorder="1"/>
    <xf numFmtId="0" fontId="0" fillId="5" borderId="14" xfId="0" applyFont="1" applyFill="1" applyBorder="1"/>
    <xf numFmtId="0" fontId="0" fillId="5" borderId="15" xfId="0" applyFont="1" applyFill="1" applyBorder="1"/>
    <xf numFmtId="0" fontId="0" fillId="0" borderId="14" xfId="0" applyFont="1" applyBorder="1"/>
    <xf numFmtId="0" fontId="0" fillId="0" borderId="15" xfId="0" applyFont="1" applyBorder="1"/>
    <xf numFmtId="0" fontId="0" fillId="0" borderId="22" xfId="0" applyFont="1" applyBorder="1"/>
    <xf numFmtId="0" fontId="0" fillId="0" borderId="23" xfId="0" applyFont="1" applyBorder="1"/>
    <xf numFmtId="0" fontId="1" fillId="10" borderId="24" xfId="0" applyFont="1" applyFill="1" applyBorder="1"/>
    <xf numFmtId="0" fontId="1" fillId="10" borderId="25" xfId="0" applyFont="1" applyFill="1" applyBorder="1"/>
    <xf numFmtId="0" fontId="1" fillId="10" borderId="26" xfId="0" applyFont="1" applyFill="1" applyBorder="1"/>
    <xf numFmtId="0" fontId="0" fillId="11" borderId="24" xfId="0" applyFont="1" applyFill="1" applyBorder="1"/>
    <xf numFmtId="0" fontId="0" fillId="11" borderId="25" xfId="0" applyFont="1" applyFill="1" applyBorder="1"/>
    <xf numFmtId="0" fontId="0" fillId="11" borderId="26" xfId="0" applyFont="1" applyFill="1" applyBorder="1"/>
    <xf numFmtId="0" fontId="0" fillId="0" borderId="24" xfId="0" applyFont="1" applyBorder="1"/>
    <xf numFmtId="0" fontId="0" fillId="0" borderId="25" xfId="0" applyFont="1" applyBorder="1"/>
    <xf numFmtId="0" fontId="0" fillId="0" borderId="26" xfId="0" applyFont="1" applyBorder="1"/>
    <xf numFmtId="0" fontId="0" fillId="0" borderId="21" xfId="0" applyFont="1" applyBorder="1"/>
    <xf numFmtId="0" fontId="1" fillId="10" borderId="0" xfId="0" applyFont="1" applyFill="1" applyBorder="1"/>
    <xf numFmtId="0" fontId="0" fillId="0" borderId="0" xfId="0" applyFont="1" applyBorder="1"/>
    <xf numFmtId="0" fontId="4" fillId="7" borderId="13" xfId="0" applyFont="1" applyFill="1" applyBorder="1"/>
    <xf numFmtId="0" fontId="4" fillId="5" borderId="14" xfId="0" applyFont="1" applyFill="1" applyBorder="1"/>
    <xf numFmtId="0" fontId="0" fillId="13" borderId="28" xfId="0" applyFont="1" applyFill="1" applyBorder="1"/>
    <xf numFmtId="0" fontId="0" fillId="13" borderId="29" xfId="0" applyFont="1" applyFill="1" applyBorder="1"/>
    <xf numFmtId="0" fontId="1" fillId="12" borderId="30" xfId="0" applyFont="1" applyFill="1" applyBorder="1"/>
    <xf numFmtId="0" fontId="1" fillId="12" borderId="31" xfId="0" applyFont="1" applyFill="1" applyBorder="1"/>
    <xf numFmtId="0" fontId="0" fillId="13" borderId="30" xfId="0" applyFont="1" applyFill="1" applyBorder="1"/>
    <xf numFmtId="0" fontId="0" fillId="13" borderId="31" xfId="0" applyFont="1" applyFill="1" applyBorder="1"/>
    <xf numFmtId="0" fontId="0" fillId="0" borderId="30" xfId="0" applyFont="1" applyBorder="1"/>
    <xf numFmtId="0" fontId="0" fillId="0" borderId="31" xfId="0" applyFont="1" applyBorder="1"/>
    <xf numFmtId="0" fontId="1" fillId="10" borderId="27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1" fillId="12" borderId="28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1" fillId="12" borderId="29" xfId="0" applyFont="1" applyFill="1" applyBorder="1" applyAlignment="1">
      <alignment horizontal="center"/>
    </xf>
    <xf numFmtId="0" fontId="3" fillId="8" borderId="16" xfId="0" applyFont="1" applyFill="1" applyBorder="1"/>
    <xf numFmtId="0" fontId="3" fillId="8" borderId="17" xfId="0" applyFont="1" applyFill="1" applyBorder="1"/>
    <xf numFmtId="0" fontId="3" fillId="8" borderId="18" xfId="0" applyFont="1" applyFill="1" applyBorder="1"/>
    <xf numFmtId="0" fontId="2" fillId="9" borderId="19" xfId="0" applyFont="1" applyFill="1" applyBorder="1"/>
    <xf numFmtId="0" fontId="2" fillId="9" borderId="20" xfId="0" applyFont="1" applyFill="1" applyBorder="1"/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15" borderId="33" xfId="0" applyFont="1" applyFill="1" applyBorder="1"/>
    <xf numFmtId="0" fontId="0" fillId="15" borderId="34" xfId="0" applyFont="1" applyFill="1" applyBorder="1"/>
    <xf numFmtId="0" fontId="0" fillId="15" borderId="35" xfId="0" applyFont="1" applyFill="1" applyBorder="1"/>
    <xf numFmtId="0" fontId="1" fillId="14" borderId="37" xfId="0" applyFont="1" applyFill="1" applyBorder="1" applyAlignment="1">
      <alignment vertical="top"/>
    </xf>
    <xf numFmtId="0" fontId="1" fillId="14" borderId="38" xfId="0" applyFont="1" applyFill="1" applyBorder="1" applyAlignment="1">
      <alignment vertical="top"/>
    </xf>
    <xf numFmtId="0" fontId="0" fillId="15" borderId="36" xfId="0" applyFont="1" applyFill="1" applyBorder="1"/>
    <xf numFmtId="0" fontId="0" fillId="15" borderId="37" xfId="0" applyFont="1" applyFill="1" applyBorder="1"/>
    <xf numFmtId="0" fontId="0" fillId="15" borderId="38" xfId="0" applyFont="1" applyFill="1" applyBorder="1"/>
    <xf numFmtId="0" fontId="0" fillId="0" borderId="36" xfId="0" applyFont="1" applyBorder="1"/>
    <xf numFmtId="0" fontId="0" fillId="0" borderId="37" xfId="0" applyFont="1" applyBorder="1"/>
    <xf numFmtId="0" fontId="0" fillId="0" borderId="38" xfId="0" applyFont="1" applyBorder="1"/>
    <xf numFmtId="0" fontId="1" fillId="14" borderId="36" xfId="0" applyFont="1" applyFill="1" applyBorder="1" applyAlignment="1"/>
    <xf numFmtId="0" fontId="1" fillId="14" borderId="39" xfId="0" applyFont="1" applyFill="1" applyBorder="1" applyAlignment="1"/>
    <xf numFmtId="0" fontId="1" fillId="14" borderId="34" xfId="0" applyFont="1" applyFill="1" applyBorder="1" applyAlignment="1">
      <alignment horizontal="center" vertical="top"/>
    </xf>
    <xf numFmtId="0" fontId="1" fillId="14" borderId="35" xfId="0" applyFont="1" applyFill="1" applyBorder="1" applyAlignment="1">
      <alignment horizontal="center" vertical="top"/>
    </xf>
    <xf numFmtId="0" fontId="1" fillId="14" borderId="3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B61" sqref="B61"/>
    </sheetView>
  </sheetViews>
  <sheetFormatPr defaultRowHeight="15" x14ac:dyDescent="0.25"/>
  <cols>
    <col min="1" max="1" width="6.25" customWidth="1"/>
    <col min="2" max="2" width="19.125" bestFit="1" customWidth="1"/>
    <col min="3" max="4" width="10" customWidth="1"/>
    <col min="5" max="5" width="51.125" bestFit="1" customWidth="1"/>
    <col min="6" max="6" width="47" bestFit="1" customWidth="1"/>
  </cols>
  <sheetData>
    <row r="1" spans="1:6" ht="18" x14ac:dyDescent="0.25">
      <c r="A1" s="4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6" t="s">
        <v>75</v>
      </c>
    </row>
    <row r="2" spans="1:6" x14ac:dyDescent="0.25">
      <c r="A2" s="7" t="s">
        <v>0</v>
      </c>
      <c r="B2" s="8" t="s">
        <v>1</v>
      </c>
      <c r="C2" s="8"/>
      <c r="D2" s="8"/>
      <c r="E2" s="8" t="s">
        <v>2</v>
      </c>
      <c r="F2" s="9" t="s">
        <v>3</v>
      </c>
    </row>
    <row r="3" spans="1:6" x14ac:dyDescent="0.25">
      <c r="A3" s="10" t="s">
        <v>0</v>
      </c>
      <c r="B3" s="11" t="s">
        <v>4</v>
      </c>
      <c r="C3" s="11"/>
      <c r="D3" s="11"/>
      <c r="E3" s="11" t="s">
        <v>5</v>
      </c>
      <c r="F3" s="12" t="s">
        <v>6</v>
      </c>
    </row>
    <row r="4" spans="1:6" x14ac:dyDescent="0.25">
      <c r="A4" s="7" t="s">
        <v>7</v>
      </c>
      <c r="B4" s="8" t="s">
        <v>8</v>
      </c>
      <c r="C4" s="8"/>
      <c r="D4" s="8"/>
      <c r="E4" s="8" t="s">
        <v>9</v>
      </c>
      <c r="F4" s="9" t="s">
        <v>10</v>
      </c>
    </row>
    <row r="5" spans="1:6" x14ac:dyDescent="0.25">
      <c r="A5" s="10" t="s">
        <v>7</v>
      </c>
      <c r="B5" s="11"/>
      <c r="C5" s="11" t="s">
        <v>11</v>
      </c>
      <c r="D5" s="11"/>
      <c r="E5" s="11" t="s">
        <v>12</v>
      </c>
      <c r="F5" s="12" t="s">
        <v>3</v>
      </c>
    </row>
    <row r="6" spans="1:6" x14ac:dyDescent="0.25">
      <c r="A6" s="7"/>
      <c r="B6" s="8"/>
      <c r="C6" s="8"/>
      <c r="D6" s="8" t="s">
        <v>11</v>
      </c>
      <c r="E6" s="8" t="s">
        <v>13</v>
      </c>
      <c r="F6" s="9" t="s">
        <v>14</v>
      </c>
    </row>
    <row r="7" spans="1:6" x14ac:dyDescent="0.25">
      <c r="A7" s="10"/>
      <c r="B7" s="11"/>
      <c r="C7" s="11"/>
      <c r="D7" s="11" t="s">
        <v>15</v>
      </c>
      <c r="E7" s="11" t="s">
        <v>16</v>
      </c>
      <c r="F7" s="12" t="s">
        <v>14</v>
      </c>
    </row>
    <row r="8" spans="1:6" x14ac:dyDescent="0.25">
      <c r="A8" s="7"/>
      <c r="B8" s="8"/>
      <c r="C8" s="8"/>
      <c r="D8" s="8" t="s">
        <v>17</v>
      </c>
      <c r="E8" s="8" t="s">
        <v>18</v>
      </c>
      <c r="F8" s="9" t="s">
        <v>14</v>
      </c>
    </row>
    <row r="9" spans="1:6" x14ac:dyDescent="0.25">
      <c r="A9" s="10"/>
      <c r="B9" s="11"/>
      <c r="C9" s="11"/>
      <c r="D9" s="11" t="s">
        <v>19</v>
      </c>
      <c r="E9" s="11" t="s">
        <v>20</v>
      </c>
      <c r="F9" s="12" t="s">
        <v>14</v>
      </c>
    </row>
    <row r="10" spans="1:6" x14ac:dyDescent="0.25">
      <c r="A10" s="7"/>
      <c r="B10" s="8"/>
      <c r="C10" s="8"/>
      <c r="D10" s="8" t="s">
        <v>21</v>
      </c>
      <c r="E10" s="8" t="s">
        <v>22</v>
      </c>
      <c r="F10" s="9" t="s">
        <v>14</v>
      </c>
    </row>
    <row r="11" spans="1:6" x14ac:dyDescent="0.25">
      <c r="A11" s="10" t="s">
        <v>7</v>
      </c>
      <c r="B11" s="11"/>
      <c r="C11" s="11" t="s">
        <v>15</v>
      </c>
      <c r="D11" s="11"/>
      <c r="E11" s="11" t="s">
        <v>23</v>
      </c>
      <c r="F11" s="12" t="s">
        <v>3</v>
      </c>
    </row>
    <row r="12" spans="1:6" x14ac:dyDescent="0.25">
      <c r="A12" s="7"/>
      <c r="B12" s="8"/>
      <c r="C12" s="8"/>
      <c r="D12" s="8" t="s">
        <v>11</v>
      </c>
      <c r="E12" s="8"/>
      <c r="F12" s="9" t="s">
        <v>14</v>
      </c>
    </row>
    <row r="13" spans="1:6" x14ac:dyDescent="0.25">
      <c r="A13" s="10"/>
      <c r="B13" s="11"/>
      <c r="C13" s="11"/>
      <c r="D13" s="11" t="s">
        <v>15</v>
      </c>
      <c r="E13" s="11" t="s">
        <v>13</v>
      </c>
      <c r="F13" s="12" t="s">
        <v>14</v>
      </c>
    </row>
    <row r="14" spans="1:6" x14ac:dyDescent="0.25">
      <c r="A14" s="7"/>
      <c r="B14" s="8"/>
      <c r="C14" s="8"/>
      <c r="D14" s="8" t="s">
        <v>17</v>
      </c>
      <c r="E14" s="8" t="s">
        <v>24</v>
      </c>
      <c r="F14" s="9" t="s">
        <v>14</v>
      </c>
    </row>
    <row r="15" spans="1:6" x14ac:dyDescent="0.25">
      <c r="A15" s="10"/>
      <c r="B15" s="11"/>
      <c r="C15" s="11"/>
      <c r="D15" s="11" t="s">
        <v>19</v>
      </c>
      <c r="E15" s="11" t="s">
        <v>25</v>
      </c>
      <c r="F15" s="12" t="s">
        <v>14</v>
      </c>
    </row>
    <row r="16" spans="1:6" x14ac:dyDescent="0.25">
      <c r="A16" s="7"/>
      <c r="B16" s="8"/>
      <c r="C16" s="8"/>
      <c r="D16" s="8" t="s">
        <v>21</v>
      </c>
      <c r="E16" s="8" t="s">
        <v>26</v>
      </c>
      <c r="F16" s="9" t="s">
        <v>14</v>
      </c>
    </row>
    <row r="17" spans="1:6" x14ac:dyDescent="0.25">
      <c r="A17" s="10"/>
      <c r="B17" s="11"/>
      <c r="C17" s="11"/>
      <c r="D17" s="11" t="s">
        <v>27</v>
      </c>
      <c r="E17" s="11" t="s">
        <v>28</v>
      </c>
      <c r="F17" s="12" t="s">
        <v>14</v>
      </c>
    </row>
    <row r="18" spans="1:6" x14ac:dyDescent="0.25">
      <c r="A18" s="7"/>
      <c r="B18" s="8"/>
      <c r="C18" s="8"/>
      <c r="D18" s="8" t="s">
        <v>29</v>
      </c>
      <c r="E18" s="8" t="s">
        <v>30</v>
      </c>
      <c r="F18" s="9" t="s">
        <v>14</v>
      </c>
    </row>
    <row r="19" spans="1:6" x14ac:dyDescent="0.25">
      <c r="A19" s="10"/>
      <c r="B19" s="11"/>
      <c r="C19" s="11"/>
      <c r="D19" s="11" t="s">
        <v>31</v>
      </c>
      <c r="E19" s="11" t="s">
        <v>32</v>
      </c>
      <c r="F19" s="12" t="s">
        <v>14</v>
      </c>
    </row>
    <row r="20" spans="1:6" x14ac:dyDescent="0.25">
      <c r="A20" s="7" t="s">
        <v>7</v>
      </c>
      <c r="B20" s="8"/>
      <c r="C20" s="8" t="s">
        <v>17</v>
      </c>
      <c r="D20" s="8"/>
      <c r="E20" s="8" t="s">
        <v>23</v>
      </c>
      <c r="F20" s="9" t="s">
        <v>3</v>
      </c>
    </row>
    <row r="21" spans="1:6" x14ac:dyDescent="0.25">
      <c r="A21" s="10"/>
      <c r="B21" s="11"/>
      <c r="C21" s="11"/>
      <c r="D21" s="11" t="s">
        <v>11</v>
      </c>
      <c r="E21" s="11" t="s">
        <v>13</v>
      </c>
      <c r="F21" s="12" t="s">
        <v>14</v>
      </c>
    </row>
    <row r="22" spans="1:6" x14ac:dyDescent="0.25">
      <c r="A22" s="7"/>
      <c r="B22" s="8"/>
      <c r="C22" s="8"/>
      <c r="D22" s="8" t="s">
        <v>15</v>
      </c>
      <c r="E22" s="8" t="s">
        <v>24</v>
      </c>
      <c r="F22" s="9" t="s">
        <v>14</v>
      </c>
    </row>
    <row r="23" spans="1:6" x14ac:dyDescent="0.25">
      <c r="A23" s="10"/>
      <c r="B23" s="11"/>
      <c r="C23" s="11"/>
      <c r="D23" s="11" t="s">
        <v>17</v>
      </c>
      <c r="E23" s="11" t="s">
        <v>33</v>
      </c>
      <c r="F23" s="12" t="s">
        <v>14</v>
      </c>
    </row>
    <row r="24" spans="1:6" x14ac:dyDescent="0.25">
      <c r="A24" s="7"/>
      <c r="B24" s="8"/>
      <c r="C24" s="8"/>
      <c r="D24" s="8" t="s">
        <v>19</v>
      </c>
      <c r="E24" s="8" t="s">
        <v>26</v>
      </c>
      <c r="F24" s="9" t="s">
        <v>14</v>
      </c>
    </row>
    <row r="25" spans="1:6" x14ac:dyDescent="0.25">
      <c r="A25" s="10"/>
      <c r="B25" s="11"/>
      <c r="C25" s="11"/>
      <c r="D25" s="11" t="s">
        <v>21</v>
      </c>
      <c r="E25" s="11" t="s">
        <v>28</v>
      </c>
      <c r="F25" s="12" t="s">
        <v>14</v>
      </c>
    </row>
    <row r="26" spans="1:6" x14ac:dyDescent="0.25">
      <c r="A26" s="7"/>
      <c r="B26" s="8"/>
      <c r="C26" s="8"/>
      <c r="D26" s="8" t="s">
        <v>27</v>
      </c>
      <c r="E26" s="8" t="s">
        <v>30</v>
      </c>
      <c r="F26" s="9" t="s">
        <v>14</v>
      </c>
    </row>
    <row r="27" spans="1:6" x14ac:dyDescent="0.25">
      <c r="A27" s="10"/>
      <c r="B27" s="11"/>
      <c r="C27" s="11"/>
      <c r="D27" s="11" t="s">
        <v>29</v>
      </c>
      <c r="E27" s="11" t="s">
        <v>34</v>
      </c>
      <c r="F27" s="12" t="s">
        <v>14</v>
      </c>
    </row>
    <row r="28" spans="1:6" x14ac:dyDescent="0.25">
      <c r="A28" s="7"/>
      <c r="B28" s="8"/>
      <c r="C28" s="8"/>
      <c r="D28" s="8" t="s">
        <v>31</v>
      </c>
      <c r="E28" s="8"/>
      <c r="F28" s="9" t="s">
        <v>14</v>
      </c>
    </row>
    <row r="29" spans="1:6" x14ac:dyDescent="0.25">
      <c r="A29" s="10" t="s">
        <v>7</v>
      </c>
      <c r="B29" s="11"/>
      <c r="C29" s="11" t="s">
        <v>19</v>
      </c>
      <c r="D29" s="11"/>
      <c r="E29" s="11" t="s">
        <v>35</v>
      </c>
      <c r="F29" s="12" t="s">
        <v>3</v>
      </c>
    </row>
    <row r="30" spans="1:6" x14ac:dyDescent="0.25">
      <c r="A30" s="7"/>
      <c r="B30" s="8"/>
      <c r="C30" s="8"/>
      <c r="D30" s="8" t="s">
        <v>11</v>
      </c>
      <c r="E30" s="8" t="s">
        <v>36</v>
      </c>
      <c r="F30" s="9" t="s">
        <v>14</v>
      </c>
    </row>
    <row r="31" spans="1:6" x14ac:dyDescent="0.25">
      <c r="A31" s="10"/>
      <c r="B31" s="11"/>
      <c r="C31" s="11"/>
      <c r="D31" s="11" t="s">
        <v>15</v>
      </c>
      <c r="E31" s="11" t="s">
        <v>25</v>
      </c>
      <c r="F31" s="12" t="s">
        <v>14</v>
      </c>
    </row>
    <row r="32" spans="1:6" x14ac:dyDescent="0.25">
      <c r="A32" s="7"/>
      <c r="B32" s="8"/>
      <c r="C32" s="8"/>
      <c r="D32" s="8" t="s">
        <v>17</v>
      </c>
      <c r="E32" s="8" t="s">
        <v>26</v>
      </c>
      <c r="F32" s="9" t="s">
        <v>14</v>
      </c>
    </row>
    <row r="33" spans="1:6" x14ac:dyDescent="0.25">
      <c r="A33" s="10"/>
      <c r="B33" s="11"/>
      <c r="C33" s="11"/>
      <c r="D33" s="11" t="s">
        <v>19</v>
      </c>
      <c r="E33" s="11" t="s">
        <v>18</v>
      </c>
      <c r="F33" s="12" t="s">
        <v>14</v>
      </c>
    </row>
    <row r="34" spans="1:6" x14ac:dyDescent="0.25">
      <c r="A34" s="7"/>
      <c r="B34" s="8"/>
      <c r="C34" s="8"/>
      <c r="D34" s="8" t="s">
        <v>21</v>
      </c>
      <c r="E34" s="8" t="s">
        <v>37</v>
      </c>
      <c r="F34" s="9" t="s">
        <v>14</v>
      </c>
    </row>
    <row r="35" spans="1:6" x14ac:dyDescent="0.25">
      <c r="A35" s="10"/>
      <c r="B35" s="11"/>
      <c r="C35" s="11"/>
      <c r="D35" s="11" t="s">
        <v>27</v>
      </c>
      <c r="E35" s="11" t="s">
        <v>32</v>
      </c>
      <c r="F35" s="12" t="s">
        <v>14</v>
      </c>
    </row>
    <row r="36" spans="1:6" x14ac:dyDescent="0.25">
      <c r="A36" s="7" t="s">
        <v>7</v>
      </c>
      <c r="B36" s="8"/>
      <c r="C36" s="8" t="s">
        <v>21</v>
      </c>
      <c r="D36" s="8"/>
      <c r="E36" s="8" t="s">
        <v>35</v>
      </c>
      <c r="F36" s="9" t="s">
        <v>3</v>
      </c>
    </row>
    <row r="37" spans="1:6" x14ac:dyDescent="0.25">
      <c r="A37" s="10"/>
      <c r="B37" s="11"/>
      <c r="C37" s="11"/>
      <c r="D37" s="11" t="s">
        <v>11</v>
      </c>
      <c r="E37" s="11" t="s">
        <v>13</v>
      </c>
      <c r="F37" s="12" t="s">
        <v>14</v>
      </c>
    </row>
    <row r="38" spans="1:6" x14ac:dyDescent="0.25">
      <c r="A38" s="7"/>
      <c r="B38" s="8"/>
      <c r="C38" s="8"/>
      <c r="D38" s="8" t="s">
        <v>15</v>
      </c>
      <c r="E38" s="8" t="s">
        <v>24</v>
      </c>
      <c r="F38" s="9" t="s">
        <v>14</v>
      </c>
    </row>
    <row r="39" spans="1:6" x14ac:dyDescent="0.25">
      <c r="A39" s="10"/>
      <c r="B39" s="11"/>
      <c r="C39" s="11"/>
      <c r="D39" s="11" t="s">
        <v>17</v>
      </c>
      <c r="E39" s="11" t="s">
        <v>33</v>
      </c>
      <c r="F39" s="12" t="s">
        <v>14</v>
      </c>
    </row>
    <row r="40" spans="1:6" x14ac:dyDescent="0.25">
      <c r="A40" s="7"/>
      <c r="B40" s="8"/>
      <c r="C40" s="8"/>
      <c r="D40" s="8" t="s">
        <v>19</v>
      </c>
      <c r="E40" s="8" t="s">
        <v>26</v>
      </c>
      <c r="F40" s="9" t="s">
        <v>14</v>
      </c>
    </row>
    <row r="41" spans="1:6" x14ac:dyDescent="0.25">
      <c r="A41" s="10"/>
      <c r="B41" s="11"/>
      <c r="C41" s="11"/>
      <c r="D41" s="11" t="s">
        <v>21</v>
      </c>
      <c r="E41" s="11" t="s">
        <v>18</v>
      </c>
      <c r="F41" s="12" t="s">
        <v>14</v>
      </c>
    </row>
    <row r="42" spans="1:6" x14ac:dyDescent="0.25">
      <c r="A42" s="7"/>
      <c r="B42" s="8"/>
      <c r="C42" s="8"/>
      <c r="D42" s="8" t="s">
        <v>27</v>
      </c>
      <c r="E42" s="8" t="s">
        <v>38</v>
      </c>
      <c r="F42" s="9" t="s">
        <v>14</v>
      </c>
    </row>
    <row r="43" spans="1:6" x14ac:dyDescent="0.25">
      <c r="A43" s="10" t="s">
        <v>7</v>
      </c>
      <c r="B43" s="11"/>
      <c r="C43" s="11" t="s">
        <v>27</v>
      </c>
      <c r="D43" s="11"/>
      <c r="E43" s="11" t="s">
        <v>12</v>
      </c>
      <c r="F43" s="12" t="s">
        <v>3</v>
      </c>
    </row>
    <row r="44" spans="1:6" x14ac:dyDescent="0.25">
      <c r="A44" s="7"/>
      <c r="B44" s="8"/>
      <c r="C44" s="8"/>
      <c r="D44" s="8" t="s">
        <v>11</v>
      </c>
      <c r="E44" s="8" t="s">
        <v>13</v>
      </c>
      <c r="F44" s="9" t="s">
        <v>14</v>
      </c>
    </row>
    <row r="45" spans="1:6" x14ac:dyDescent="0.25">
      <c r="A45" s="10"/>
      <c r="B45" s="11"/>
      <c r="C45" s="11"/>
      <c r="D45" s="11" t="s">
        <v>15</v>
      </c>
      <c r="E45" s="11" t="s">
        <v>24</v>
      </c>
      <c r="F45" s="12" t="s">
        <v>14</v>
      </c>
    </row>
    <row r="46" spans="1:6" x14ac:dyDescent="0.25">
      <c r="A46" s="7"/>
      <c r="B46" s="8"/>
      <c r="C46" s="8"/>
      <c r="D46" s="8" t="s">
        <v>17</v>
      </c>
      <c r="E46" s="8" t="s">
        <v>39</v>
      </c>
      <c r="F46" s="9" t="s">
        <v>14</v>
      </c>
    </row>
    <row r="47" spans="1:6" x14ac:dyDescent="0.25">
      <c r="A47" s="10"/>
      <c r="B47" s="11"/>
      <c r="C47" s="11"/>
      <c r="D47" s="11" t="s">
        <v>19</v>
      </c>
      <c r="E47" s="11" t="s">
        <v>37</v>
      </c>
      <c r="F47" s="12" t="s">
        <v>14</v>
      </c>
    </row>
    <row r="48" spans="1:6" x14ac:dyDescent="0.25">
      <c r="A48" s="7"/>
      <c r="B48" s="8"/>
      <c r="C48" s="8"/>
      <c r="D48" s="8" t="s">
        <v>21</v>
      </c>
      <c r="E48" s="8" t="s">
        <v>32</v>
      </c>
      <c r="F48" s="9" t="s">
        <v>14</v>
      </c>
    </row>
    <row r="49" spans="1:6" x14ac:dyDescent="0.25">
      <c r="A49" s="10" t="s">
        <v>7</v>
      </c>
      <c r="B49" s="11"/>
      <c r="C49" s="11" t="s">
        <v>29</v>
      </c>
      <c r="D49" s="11"/>
      <c r="E49" s="11" t="s">
        <v>40</v>
      </c>
      <c r="F49" s="12" t="s">
        <v>3</v>
      </c>
    </row>
    <row r="50" spans="1:6" x14ac:dyDescent="0.25">
      <c r="A50" s="7"/>
      <c r="B50" s="8"/>
      <c r="C50" s="8"/>
      <c r="D50" s="8" t="s">
        <v>11</v>
      </c>
      <c r="E50" s="8" t="s">
        <v>13</v>
      </c>
      <c r="F50" s="9" t="s">
        <v>14</v>
      </c>
    </row>
    <row r="51" spans="1:6" x14ac:dyDescent="0.25">
      <c r="A51" s="10"/>
      <c r="B51" s="11"/>
      <c r="C51" s="11"/>
      <c r="D51" s="11" t="s">
        <v>15</v>
      </c>
      <c r="E51" s="11" t="s">
        <v>41</v>
      </c>
      <c r="F51" s="12" t="s">
        <v>14</v>
      </c>
    </row>
    <row r="52" spans="1:6" x14ac:dyDescent="0.25">
      <c r="A52" s="7"/>
      <c r="B52" s="8"/>
      <c r="C52" s="8"/>
      <c r="D52" s="8" t="s">
        <v>17</v>
      </c>
      <c r="E52" s="8" t="s">
        <v>42</v>
      </c>
      <c r="F52" s="9" t="s">
        <v>14</v>
      </c>
    </row>
    <row r="53" spans="1:6" x14ac:dyDescent="0.25">
      <c r="A53" s="10"/>
      <c r="B53" s="11"/>
      <c r="C53" s="11"/>
      <c r="D53" s="11" t="s">
        <v>19</v>
      </c>
      <c r="E53" s="11" t="s">
        <v>43</v>
      </c>
      <c r="F53" s="12" t="s">
        <v>14</v>
      </c>
    </row>
    <row r="54" spans="1:6" x14ac:dyDescent="0.25">
      <c r="A54" s="7" t="s">
        <v>7</v>
      </c>
      <c r="B54" s="8"/>
      <c r="C54" s="8" t="s">
        <v>31</v>
      </c>
      <c r="D54" s="8"/>
      <c r="E54" s="8" t="s">
        <v>12</v>
      </c>
      <c r="F54" s="9" t="s">
        <v>3</v>
      </c>
    </row>
    <row r="55" spans="1:6" x14ac:dyDescent="0.25">
      <c r="A55" s="10"/>
      <c r="B55" s="11"/>
      <c r="C55" s="11"/>
      <c r="D55" s="11" t="s">
        <v>11</v>
      </c>
      <c r="E55" s="11" t="s">
        <v>13</v>
      </c>
      <c r="F55" s="12" t="s">
        <v>14</v>
      </c>
    </row>
    <row r="56" spans="1:6" x14ac:dyDescent="0.25">
      <c r="A56" s="7"/>
      <c r="B56" s="8"/>
      <c r="C56" s="8"/>
      <c r="D56" s="8" t="s">
        <v>15</v>
      </c>
      <c r="E56" s="8" t="s">
        <v>24</v>
      </c>
      <c r="F56" s="9" t="s">
        <v>14</v>
      </c>
    </row>
    <row r="57" spans="1:6" x14ac:dyDescent="0.25">
      <c r="A57" s="10"/>
      <c r="B57" s="11"/>
      <c r="C57" s="11"/>
      <c r="D57" s="11" t="s">
        <v>17</v>
      </c>
      <c r="E57" s="11" t="s">
        <v>44</v>
      </c>
      <c r="F57" s="12" t="s">
        <v>14</v>
      </c>
    </row>
    <row r="58" spans="1:6" x14ac:dyDescent="0.25">
      <c r="A58" s="7"/>
      <c r="B58" s="8"/>
      <c r="C58" s="8"/>
      <c r="D58" s="8" t="s">
        <v>19</v>
      </c>
      <c r="E58" s="8" t="s">
        <v>45</v>
      </c>
      <c r="F58" s="9" t="s">
        <v>14</v>
      </c>
    </row>
    <row r="59" spans="1:6" x14ac:dyDescent="0.25">
      <c r="A59" s="10"/>
      <c r="B59" s="11"/>
      <c r="C59" s="11"/>
      <c r="D59" s="11" t="s">
        <v>21</v>
      </c>
      <c r="E59" s="11" t="s">
        <v>46</v>
      </c>
      <c r="F59" s="12" t="s">
        <v>14</v>
      </c>
    </row>
    <row r="60" spans="1:6" x14ac:dyDescent="0.25">
      <c r="A60" s="7" t="s">
        <v>7</v>
      </c>
      <c r="B60" s="8"/>
      <c r="C60" s="8" t="s">
        <v>47</v>
      </c>
      <c r="D60" s="8"/>
      <c r="E60" s="8" t="s">
        <v>48</v>
      </c>
      <c r="F60" s="9" t="s">
        <v>3</v>
      </c>
    </row>
    <row r="61" spans="1:6" x14ac:dyDescent="0.25">
      <c r="A61" s="10"/>
      <c r="B61" s="11"/>
      <c r="C61" s="11"/>
      <c r="D61" s="11" t="s">
        <v>11</v>
      </c>
      <c r="E61" s="11"/>
      <c r="F61" s="12" t="s">
        <v>14</v>
      </c>
    </row>
    <row r="62" spans="1:6" x14ac:dyDescent="0.25">
      <c r="A62" s="7"/>
      <c r="B62" s="8"/>
      <c r="C62" s="8"/>
      <c r="D62" s="8" t="s">
        <v>15</v>
      </c>
      <c r="E62" s="8" t="s">
        <v>13</v>
      </c>
      <c r="F62" s="9" t="s">
        <v>14</v>
      </c>
    </row>
    <row r="63" spans="1:6" x14ac:dyDescent="0.25">
      <c r="A63" s="10"/>
      <c r="B63" s="11"/>
      <c r="C63" s="11"/>
      <c r="D63" s="11" t="s">
        <v>17</v>
      </c>
      <c r="E63" s="11" t="s">
        <v>24</v>
      </c>
      <c r="F63" s="12" t="s">
        <v>14</v>
      </c>
    </row>
    <row r="64" spans="1:6" x14ac:dyDescent="0.25">
      <c r="A64" s="7"/>
      <c r="B64" s="8"/>
      <c r="C64" s="8"/>
      <c r="D64" s="8" t="s">
        <v>19</v>
      </c>
      <c r="E64" s="8" t="s">
        <v>49</v>
      </c>
      <c r="F64" s="9" t="s">
        <v>14</v>
      </c>
    </row>
    <row r="65" spans="1:6" x14ac:dyDescent="0.25">
      <c r="A65" s="10"/>
      <c r="B65" s="11"/>
      <c r="C65" s="11"/>
      <c r="D65" s="11" t="s">
        <v>21</v>
      </c>
      <c r="E65" s="11"/>
      <c r="F65" s="12" t="s">
        <v>14</v>
      </c>
    </row>
    <row r="66" spans="1:6" x14ac:dyDescent="0.25">
      <c r="A66" s="7"/>
      <c r="B66" s="8"/>
      <c r="C66" s="8"/>
      <c r="D66" s="8" t="s">
        <v>27</v>
      </c>
      <c r="E66" s="8" t="s">
        <v>50</v>
      </c>
      <c r="F66" s="9" t="s">
        <v>14</v>
      </c>
    </row>
    <row r="67" spans="1:6" x14ac:dyDescent="0.25">
      <c r="A67" s="10"/>
      <c r="B67" s="11"/>
      <c r="C67" s="11"/>
      <c r="D67" s="11" t="s">
        <v>29</v>
      </c>
      <c r="E67" s="11" t="s">
        <v>51</v>
      </c>
      <c r="F67" s="12" t="s">
        <v>14</v>
      </c>
    </row>
    <row r="68" spans="1:6" x14ac:dyDescent="0.25">
      <c r="A68" s="7"/>
      <c r="B68" s="8"/>
      <c r="C68" s="8"/>
      <c r="D68" s="8" t="s">
        <v>31</v>
      </c>
      <c r="E68" s="8" t="s">
        <v>52</v>
      </c>
      <c r="F68" s="9" t="s">
        <v>14</v>
      </c>
    </row>
    <row r="69" spans="1:6" x14ac:dyDescent="0.25">
      <c r="A69" s="10"/>
      <c r="B69" s="11"/>
      <c r="C69" s="11"/>
      <c r="D69" s="11" t="s">
        <v>47</v>
      </c>
      <c r="E69" s="11" t="s">
        <v>53</v>
      </c>
      <c r="F69" s="12" t="s">
        <v>14</v>
      </c>
    </row>
    <row r="70" spans="1:6" x14ac:dyDescent="0.25">
      <c r="A70" s="7"/>
      <c r="B70" s="8"/>
      <c r="C70" s="8"/>
      <c r="D70" s="8" t="s">
        <v>54</v>
      </c>
      <c r="E70" s="8"/>
      <c r="F70" s="9" t="s">
        <v>14</v>
      </c>
    </row>
    <row r="71" spans="1:6" x14ac:dyDescent="0.25">
      <c r="A71" s="10" t="s">
        <v>7</v>
      </c>
      <c r="B71" s="11"/>
      <c r="C71" s="11" t="s">
        <v>54</v>
      </c>
      <c r="D71" s="11"/>
      <c r="E71" s="11" t="s">
        <v>40</v>
      </c>
      <c r="F71" s="12" t="s">
        <v>3</v>
      </c>
    </row>
    <row r="72" spans="1:6" x14ac:dyDescent="0.25">
      <c r="A72" s="7"/>
      <c r="B72" s="8"/>
      <c r="C72" s="8"/>
      <c r="D72" s="8" t="s">
        <v>11</v>
      </c>
      <c r="E72" s="8" t="s">
        <v>55</v>
      </c>
      <c r="F72" s="9" t="s">
        <v>14</v>
      </c>
    </row>
    <row r="73" spans="1:6" x14ac:dyDescent="0.25">
      <c r="A73" s="10"/>
      <c r="B73" s="11"/>
      <c r="C73" s="11"/>
      <c r="D73" s="11" t="s">
        <v>15</v>
      </c>
      <c r="E73" s="11" t="s">
        <v>56</v>
      </c>
      <c r="F73" s="12" t="s">
        <v>14</v>
      </c>
    </row>
    <row r="74" spans="1:6" ht="30" x14ac:dyDescent="0.25">
      <c r="A74" s="7"/>
      <c r="B74" s="8"/>
      <c r="C74" s="8"/>
      <c r="D74" s="8" t="s">
        <v>17</v>
      </c>
      <c r="E74" s="13" t="s">
        <v>57</v>
      </c>
      <c r="F74" s="9" t="s">
        <v>14</v>
      </c>
    </row>
    <row r="75" spans="1:6" x14ac:dyDescent="0.25">
      <c r="A75" s="10"/>
      <c r="B75" s="11" t="s">
        <v>58</v>
      </c>
      <c r="C75" s="11"/>
      <c r="D75" s="11"/>
      <c r="E75" s="11" t="s">
        <v>59</v>
      </c>
      <c r="F75" s="12" t="s">
        <v>14</v>
      </c>
    </row>
    <row r="76" spans="1:6" x14ac:dyDescent="0.25">
      <c r="A76" s="7" t="s">
        <v>0</v>
      </c>
      <c r="B76" s="8" t="s">
        <v>60</v>
      </c>
      <c r="C76" s="8"/>
      <c r="D76" s="8"/>
      <c r="E76" s="8" t="s">
        <v>61</v>
      </c>
      <c r="F76" s="9" t="s">
        <v>62</v>
      </c>
    </row>
    <row r="77" spans="1:6" x14ac:dyDescent="0.25">
      <c r="A77" s="10"/>
      <c r="B77" s="11" t="s">
        <v>63</v>
      </c>
      <c r="C77" s="11"/>
      <c r="D77" s="11"/>
      <c r="E77" s="11" t="s">
        <v>64</v>
      </c>
      <c r="F77" s="12" t="s">
        <v>14</v>
      </c>
    </row>
    <row r="78" spans="1:6" x14ac:dyDescent="0.25">
      <c r="A78" s="7"/>
      <c r="B78" s="8" t="s">
        <v>65</v>
      </c>
      <c r="C78" s="8"/>
      <c r="D78" s="8"/>
      <c r="E78" s="8" t="s">
        <v>66</v>
      </c>
      <c r="F78" s="9" t="s">
        <v>67</v>
      </c>
    </row>
    <row r="79" spans="1:6" x14ac:dyDescent="0.25">
      <c r="A79" s="1"/>
      <c r="B79" s="2" t="s">
        <v>68</v>
      </c>
      <c r="C79" s="2"/>
      <c r="D79" s="2"/>
      <c r="E79" s="2" t="s">
        <v>69</v>
      </c>
      <c r="F79" s="3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pane xSplit="4" ySplit="7" topLeftCell="P8" activePane="bottomRight" state="frozen"/>
      <selection pane="topRight" activeCell="E1" sqref="E1"/>
      <selection pane="bottomLeft" activeCell="A3" sqref="A3"/>
      <selection pane="bottomRight" activeCell="P8" sqref="P8"/>
    </sheetView>
  </sheetViews>
  <sheetFormatPr defaultRowHeight="15" outlineLevelRow="2" x14ac:dyDescent="0.25"/>
  <cols>
    <col min="1" max="1" width="10.625" bestFit="1" customWidth="1"/>
    <col min="2" max="2" width="5.75" bestFit="1" customWidth="1"/>
    <col min="3" max="3" width="8.875" bestFit="1" customWidth="1"/>
    <col min="4" max="4" width="12.625" bestFit="1" customWidth="1"/>
    <col min="5" max="5" width="22.25" bestFit="1" customWidth="1"/>
    <col min="6" max="6" width="28.375" bestFit="1" customWidth="1"/>
    <col min="7" max="7" width="13" bestFit="1" customWidth="1"/>
    <col min="8" max="8" width="37.75" bestFit="1" customWidth="1"/>
    <col min="9" max="9" width="10.125" customWidth="1"/>
    <col min="10" max="10" width="66.625" bestFit="1" customWidth="1"/>
    <col min="11" max="11" width="16.5" bestFit="1" customWidth="1"/>
    <col min="12" max="12" width="13" bestFit="1" customWidth="1"/>
    <col min="13" max="13" width="47" customWidth="1"/>
    <col min="14" max="14" width="7.75" bestFit="1" customWidth="1"/>
    <col min="17" max="17" width="15.375" bestFit="1" customWidth="1"/>
    <col min="18" max="18" width="5.875" bestFit="1" customWidth="1"/>
    <col min="19" max="19" width="21.25" customWidth="1"/>
    <col min="20" max="20" width="51.125" customWidth="1"/>
  </cols>
  <sheetData>
    <row r="1" spans="1:20" x14ac:dyDescent="0.25">
      <c r="A1" s="59" t="s">
        <v>116</v>
      </c>
      <c r="B1" s="60"/>
      <c r="C1" s="61"/>
      <c r="D1" s="62" t="s">
        <v>118</v>
      </c>
      <c r="E1" s="63"/>
    </row>
    <row r="2" spans="1:20" x14ac:dyDescent="0.25">
      <c r="A2" s="59" t="s">
        <v>117</v>
      </c>
      <c r="B2" s="60"/>
      <c r="C2" s="61"/>
      <c r="D2" s="62" t="s">
        <v>114</v>
      </c>
      <c r="E2" s="63"/>
    </row>
    <row r="3" spans="1:20" x14ac:dyDescent="0.25">
      <c r="A3" s="59" t="s">
        <v>112</v>
      </c>
      <c r="B3" s="60"/>
      <c r="C3" s="61"/>
      <c r="D3" s="62" t="s">
        <v>115</v>
      </c>
      <c r="E3" s="63"/>
    </row>
    <row r="4" spans="1:20" x14ac:dyDescent="0.25">
      <c r="A4" s="59" t="s">
        <v>113</v>
      </c>
      <c r="B4" s="60"/>
      <c r="C4" s="61"/>
      <c r="D4" s="62" t="str">
        <f>CONCATENATE(Root_Namespace,".",Local_Namespace,".",Clase)</f>
        <v>WizardWrx.AnyCSV.Parser</v>
      </c>
      <c r="E4" s="63"/>
    </row>
    <row r="6" spans="1:20" ht="18" x14ac:dyDescent="0.25">
      <c r="A6" s="64" t="s">
        <v>104</v>
      </c>
      <c r="B6" s="65"/>
      <c r="C6" s="65"/>
      <c r="D6" s="65"/>
      <c r="E6" s="65"/>
      <c r="F6" s="66"/>
      <c r="G6" s="67" t="s">
        <v>87</v>
      </c>
      <c r="H6" s="68"/>
      <c r="I6" s="68"/>
      <c r="J6" s="68"/>
      <c r="K6" s="54" t="s">
        <v>109</v>
      </c>
      <c r="L6" s="55"/>
      <c r="M6" s="55"/>
      <c r="N6" s="55"/>
      <c r="O6" s="55"/>
      <c r="P6" s="55"/>
      <c r="Q6" s="56" t="s">
        <v>150</v>
      </c>
      <c r="R6" s="57"/>
      <c r="S6" s="57"/>
      <c r="T6" s="58"/>
    </row>
    <row r="7" spans="1:20" ht="18" x14ac:dyDescent="0.25">
      <c r="A7" s="18" t="s">
        <v>76</v>
      </c>
      <c r="B7" s="19" t="s">
        <v>77</v>
      </c>
      <c r="C7" s="19" t="s">
        <v>78</v>
      </c>
      <c r="D7" s="19" t="s">
        <v>79</v>
      </c>
      <c r="E7" s="19" t="s">
        <v>80</v>
      </c>
      <c r="F7" s="19" t="s">
        <v>93</v>
      </c>
      <c r="G7" s="24" t="s">
        <v>88</v>
      </c>
      <c r="H7" s="25" t="s">
        <v>119</v>
      </c>
      <c r="I7" s="25" t="s">
        <v>90</v>
      </c>
      <c r="J7" s="25" t="s">
        <v>89</v>
      </c>
      <c r="K7" s="32" t="s">
        <v>88</v>
      </c>
      <c r="L7" s="33" t="s">
        <v>110</v>
      </c>
      <c r="M7" s="34" t="s">
        <v>111</v>
      </c>
      <c r="N7" s="42" t="s">
        <v>74</v>
      </c>
      <c r="O7" s="42" t="s">
        <v>77</v>
      </c>
      <c r="P7" s="42" t="s">
        <v>78</v>
      </c>
      <c r="Q7" s="48" t="s">
        <v>151</v>
      </c>
      <c r="R7" s="49" t="s">
        <v>152</v>
      </c>
      <c r="S7" s="48" t="s">
        <v>149</v>
      </c>
      <c r="T7" s="49" t="s">
        <v>74</v>
      </c>
    </row>
    <row r="8" spans="1:20" outlineLevel="2" x14ac:dyDescent="0.25">
      <c r="A8" s="20">
        <v>34</v>
      </c>
      <c r="B8" s="21" t="str">
        <f t="shared" ref="B8:B16" si="0">CONCATENATE("0x",DEC2HEX(A8,2))</f>
        <v>0x22</v>
      </c>
      <c r="C8" s="21" t="str">
        <f t="shared" ref="C8:C16" si="1">DEC2BIN(A8,8)</f>
        <v>00100010</v>
      </c>
      <c r="D8" s="21" t="str">
        <f t="shared" ref="D8:D16" si="2">CHAR(A8)</f>
        <v>"</v>
      </c>
      <c r="E8" s="21" t="s">
        <v>81</v>
      </c>
      <c r="F8" s="21" t="s">
        <v>94</v>
      </c>
      <c r="G8" s="26" t="s">
        <v>84</v>
      </c>
      <c r="H8" s="27" t="str">
        <f t="shared" ref="H8:H16" si="3">CONCATENATE(Fully_Qualfied_Class,".",G8)</f>
        <v>WizardWrx.AnyCSV.Parser.DOUBLE_QUOTE</v>
      </c>
      <c r="I8" s="27" t="str">
        <f t="shared" ref="I8:I16" si="4">CONCATENATE("'\x",DEC2HEX(A8,4),"'")</f>
        <v>'\x0022'</v>
      </c>
      <c r="J8" s="27" t="str">
        <f>CONCATENATE("public const char ",G8,"=",I8,";  // ",F8)</f>
        <v>public const char DOUBLE_QUOTE='\x0022';  // Protect Delimiter</v>
      </c>
      <c r="K8" s="35" t="s">
        <v>124</v>
      </c>
      <c r="L8" s="36" t="s">
        <v>106</v>
      </c>
      <c r="M8" s="37" t="str">
        <f t="shared" ref="M8:M28" si="5">IF(AND(LEN(K8)&gt;0,LEN(L8)&gt;0),CONCATENATE(Fully_Qualfied_Class,".",K8,".",L8),"")</f>
        <v>WizardWrx.AnyCSV.Parser.GuardChar.DoubleQuote</v>
      </c>
      <c r="N8" s="37">
        <v>0</v>
      </c>
      <c r="O8" s="37" t="str">
        <f>IF(LEN(N8)&gt;0,CONCATENATE("0x",DEC2HEX(N8,2)),"")</f>
        <v>0x00</v>
      </c>
      <c r="P8" s="37" t="str">
        <f>IF(LEN(N8)&gt;0,DEC2BIN(N8,8),"")</f>
        <v>00000000</v>
      </c>
      <c r="Q8" s="50" t="s">
        <v>153</v>
      </c>
      <c r="R8" s="51">
        <v>0</v>
      </c>
      <c r="S8" s="50" t="s">
        <v>143</v>
      </c>
      <c r="T8" s="51" t="s">
        <v>144</v>
      </c>
    </row>
    <row r="9" spans="1:20" outlineLevel="2" x14ac:dyDescent="0.25">
      <c r="A9" s="22">
        <v>39</v>
      </c>
      <c r="B9" s="23" t="str">
        <f t="shared" si="0"/>
        <v>0x27</v>
      </c>
      <c r="C9" s="23" t="str">
        <f t="shared" si="1"/>
        <v>00100111</v>
      </c>
      <c r="D9" s="23" t="str">
        <f t="shared" si="2"/>
        <v>'</v>
      </c>
      <c r="E9" s="23" t="s">
        <v>82</v>
      </c>
      <c r="F9" s="23" t="s">
        <v>94</v>
      </c>
      <c r="G9" s="28" t="s">
        <v>85</v>
      </c>
      <c r="H9" s="29" t="str">
        <f t="shared" si="3"/>
        <v>WizardWrx.AnyCSV.Parser.SINGLE_QUOTE</v>
      </c>
      <c r="I9" s="29" t="str">
        <f t="shared" si="4"/>
        <v>'\x0027'</v>
      </c>
      <c r="J9" s="29" t="str">
        <f t="shared" ref="J9:J16" si="6">CONCATENATE("public const char ",G9,"=",I9,";  // ",F9)</f>
        <v>public const char SINGLE_QUOTE='\x0027';  // Protect Delimiter</v>
      </c>
      <c r="K9" s="38" t="s">
        <v>124</v>
      </c>
      <c r="L9" s="39" t="s">
        <v>107</v>
      </c>
      <c r="M9" s="40" t="str">
        <f t="shared" si="5"/>
        <v>WizardWrx.AnyCSV.Parser.GuardChar.SingleQuote</v>
      </c>
      <c r="N9" s="40">
        <v>1</v>
      </c>
      <c r="O9" s="40" t="str">
        <f t="shared" ref="O9:O28" si="7">IF(LEN(N9)&gt;0,CONCATENATE("0x",DEC2HEX(N9,2)),"")</f>
        <v>0x01</v>
      </c>
      <c r="P9" s="40" t="str">
        <f t="shared" ref="P9:P28" si="8">IF(LEN(N9)&gt;0,DEC2BIN(N9,8),"")</f>
        <v>00000001</v>
      </c>
      <c r="Q9" s="52" t="s">
        <v>153</v>
      </c>
      <c r="R9" s="53">
        <v>1</v>
      </c>
      <c r="S9" s="52" t="s">
        <v>145</v>
      </c>
      <c r="T9" s="53" t="s">
        <v>146</v>
      </c>
    </row>
    <row r="10" spans="1:20" outlineLevel="2" x14ac:dyDescent="0.25">
      <c r="A10" s="20">
        <v>96</v>
      </c>
      <c r="B10" s="21" t="str">
        <f t="shared" si="0"/>
        <v>0x60</v>
      </c>
      <c r="C10" s="21" t="str">
        <f t="shared" si="1"/>
        <v>01100000</v>
      </c>
      <c r="D10" s="21" t="str">
        <f t="shared" si="2"/>
        <v>`</v>
      </c>
      <c r="E10" s="21" t="s">
        <v>83</v>
      </c>
      <c r="F10" s="21" t="s">
        <v>94</v>
      </c>
      <c r="G10" s="26" t="s">
        <v>86</v>
      </c>
      <c r="H10" s="27" t="str">
        <f t="shared" si="3"/>
        <v>WizardWrx.AnyCSV.Parser.BACK_QUOTE</v>
      </c>
      <c r="I10" s="27" t="str">
        <f t="shared" si="4"/>
        <v>'\x0060'</v>
      </c>
      <c r="J10" s="27" t="str">
        <f t="shared" si="6"/>
        <v>public const char BACK_QUOTE='\x0060';  // Protect Delimiter</v>
      </c>
      <c r="K10" s="35" t="s">
        <v>124</v>
      </c>
      <c r="L10" s="36" t="s">
        <v>108</v>
      </c>
      <c r="M10" s="37" t="str">
        <f t="shared" si="5"/>
        <v>WizardWrx.AnyCSV.Parser.GuardChar.BackQuote</v>
      </c>
      <c r="N10" s="37">
        <v>2</v>
      </c>
      <c r="O10" s="37" t="str">
        <f t="shared" si="7"/>
        <v>0x02</v>
      </c>
      <c r="P10" s="37" t="str">
        <f t="shared" si="8"/>
        <v>00000010</v>
      </c>
      <c r="Q10" s="50" t="s">
        <v>153</v>
      </c>
      <c r="R10" s="51">
        <v>2</v>
      </c>
      <c r="S10" s="50" t="s">
        <v>147</v>
      </c>
      <c r="T10" s="51" t="s">
        <v>148</v>
      </c>
    </row>
    <row r="11" spans="1:20" ht="15.75" outlineLevel="1" x14ac:dyDescent="0.25">
      <c r="A11" s="20"/>
      <c r="B11" s="21"/>
      <c r="C11" s="21"/>
      <c r="D11" s="21"/>
      <c r="E11" s="21"/>
      <c r="F11" s="44" t="s">
        <v>120</v>
      </c>
      <c r="G11" s="45">
        <f>SUBTOTAL(3,G8:G10)</f>
        <v>3</v>
      </c>
      <c r="H11" s="27"/>
      <c r="I11" s="27"/>
      <c r="J11" s="27"/>
      <c r="K11" s="35"/>
      <c r="L11" s="36"/>
      <c r="M11" s="37" t="str">
        <f t="shared" si="5"/>
        <v/>
      </c>
      <c r="N11" s="37"/>
      <c r="O11" s="37" t="str">
        <f t="shared" si="7"/>
        <v/>
      </c>
      <c r="P11" s="37" t="str">
        <f t="shared" si="8"/>
        <v/>
      </c>
      <c r="Q11" s="52"/>
      <c r="R11" s="53"/>
      <c r="S11" s="52"/>
      <c r="T11" s="53"/>
    </row>
    <row r="12" spans="1:20" outlineLevel="2" x14ac:dyDescent="0.25">
      <c r="A12" s="22">
        <v>44</v>
      </c>
      <c r="B12" s="23" t="str">
        <f t="shared" si="0"/>
        <v>0x2C</v>
      </c>
      <c r="C12" s="23" t="str">
        <f t="shared" si="1"/>
        <v>00101100</v>
      </c>
      <c r="D12" s="23" t="str">
        <f t="shared" si="2"/>
        <v>,</v>
      </c>
      <c r="E12" s="23" t="s">
        <v>92</v>
      </c>
      <c r="F12" s="23" t="s">
        <v>95</v>
      </c>
      <c r="G12" s="28" t="s">
        <v>91</v>
      </c>
      <c r="H12" s="29" t="str">
        <f t="shared" si="3"/>
        <v>WizardWrx.AnyCSV.Parser.COMMA</v>
      </c>
      <c r="I12" s="29" t="str">
        <f t="shared" si="4"/>
        <v>'\x002C'</v>
      </c>
      <c r="J12" s="29" t="str">
        <f t="shared" si="6"/>
        <v>public const char COMMA='\x002C';  // Delimiter Character</v>
      </c>
      <c r="K12" s="38" t="s">
        <v>123</v>
      </c>
      <c r="L12" s="39" t="s">
        <v>92</v>
      </c>
      <c r="M12" s="40" t="str">
        <f t="shared" si="5"/>
        <v>WizardWrx.AnyCSV.Parser.DelimiterChar.Comma</v>
      </c>
      <c r="N12" s="40">
        <v>0</v>
      </c>
      <c r="O12" s="40" t="str">
        <f t="shared" si="7"/>
        <v>0x00</v>
      </c>
      <c r="P12" s="40" t="str">
        <f t="shared" si="8"/>
        <v>00000000</v>
      </c>
      <c r="Q12" s="50" t="s">
        <v>154</v>
      </c>
      <c r="R12" s="51">
        <v>0</v>
      </c>
      <c r="S12" s="50" t="s">
        <v>133</v>
      </c>
      <c r="T12" s="51" t="s">
        <v>134</v>
      </c>
    </row>
    <row r="13" spans="1:20" outlineLevel="2" x14ac:dyDescent="0.25">
      <c r="A13" s="20">
        <v>9</v>
      </c>
      <c r="B13" s="21" t="str">
        <f t="shared" si="0"/>
        <v>0x09</v>
      </c>
      <c r="C13" s="21" t="str">
        <f t="shared" si="1"/>
        <v>00001001</v>
      </c>
      <c r="D13" s="21" t="str">
        <f t="shared" si="2"/>
        <v xml:space="preserve">	</v>
      </c>
      <c r="E13" s="21" t="s">
        <v>100</v>
      </c>
      <c r="F13" s="21" t="s">
        <v>95</v>
      </c>
      <c r="G13" s="26" t="s">
        <v>96</v>
      </c>
      <c r="H13" s="27" t="str">
        <f t="shared" si="3"/>
        <v>WizardWrx.AnyCSV.Parser.TAB</v>
      </c>
      <c r="I13" s="27" t="str">
        <f t="shared" si="4"/>
        <v>'\x0009'</v>
      </c>
      <c r="J13" s="27" t="str">
        <f t="shared" si="6"/>
        <v>public const char TAB='\x0009';  // Delimiter Character</v>
      </c>
      <c r="K13" s="35" t="s">
        <v>123</v>
      </c>
      <c r="L13" s="36" t="s">
        <v>100</v>
      </c>
      <c r="M13" s="37" t="str">
        <f t="shared" si="5"/>
        <v>WizardWrx.AnyCSV.Parser.DelimiterChar.Tab</v>
      </c>
      <c r="N13" s="37">
        <v>1</v>
      </c>
      <c r="O13" s="37" t="str">
        <f t="shared" si="7"/>
        <v>0x01</v>
      </c>
      <c r="P13" s="37" t="str">
        <f t="shared" si="8"/>
        <v>00000001</v>
      </c>
      <c r="Q13" s="52" t="s">
        <v>154</v>
      </c>
      <c r="R13" s="53">
        <v>1</v>
      </c>
      <c r="S13" s="52" t="s">
        <v>135</v>
      </c>
      <c r="T13" s="53" t="s">
        <v>136</v>
      </c>
    </row>
    <row r="14" spans="1:20" outlineLevel="2" x14ac:dyDescent="0.25">
      <c r="A14" s="22">
        <v>124</v>
      </c>
      <c r="B14" s="23" t="str">
        <f t="shared" si="0"/>
        <v>0x7C</v>
      </c>
      <c r="C14" s="23" t="str">
        <f t="shared" si="1"/>
        <v>01111100</v>
      </c>
      <c r="D14" s="23" t="str">
        <f t="shared" si="2"/>
        <v>|</v>
      </c>
      <c r="E14" s="23" t="s">
        <v>101</v>
      </c>
      <c r="F14" s="23" t="s">
        <v>95</v>
      </c>
      <c r="G14" s="28" t="s">
        <v>97</v>
      </c>
      <c r="H14" s="29" t="str">
        <f t="shared" si="3"/>
        <v>WizardWrx.AnyCSV.Parser.VERTICAL_BAR</v>
      </c>
      <c r="I14" s="29" t="str">
        <f t="shared" si="4"/>
        <v>'\x007C'</v>
      </c>
      <c r="J14" s="29" t="str">
        <f t="shared" si="6"/>
        <v>public const char VERTICAL_BAR='\x007C';  // Delimiter Character</v>
      </c>
      <c r="K14" s="38" t="s">
        <v>123</v>
      </c>
      <c r="L14" s="39" t="s">
        <v>105</v>
      </c>
      <c r="M14" s="40" t="str">
        <f t="shared" si="5"/>
        <v>WizardWrx.AnyCSV.Parser.DelimiterChar.VerticalBar</v>
      </c>
      <c r="N14" s="40">
        <v>2</v>
      </c>
      <c r="O14" s="40" t="str">
        <f t="shared" si="7"/>
        <v>0x02</v>
      </c>
      <c r="P14" s="40" t="str">
        <f t="shared" si="8"/>
        <v>00000010</v>
      </c>
      <c r="Q14" s="50" t="s">
        <v>154</v>
      </c>
      <c r="R14" s="51">
        <v>2</v>
      </c>
      <c r="S14" s="50" t="s">
        <v>137</v>
      </c>
      <c r="T14" s="51" t="s">
        <v>138</v>
      </c>
    </row>
    <row r="15" spans="1:20" outlineLevel="2" x14ac:dyDescent="0.25">
      <c r="A15" s="20">
        <v>94</v>
      </c>
      <c r="B15" s="21" t="str">
        <f t="shared" si="0"/>
        <v>0x5E</v>
      </c>
      <c r="C15" s="21" t="str">
        <f t="shared" si="1"/>
        <v>01011110</v>
      </c>
      <c r="D15" s="21" t="str">
        <f t="shared" si="2"/>
        <v>^</v>
      </c>
      <c r="E15" s="21" t="s">
        <v>102</v>
      </c>
      <c r="F15" s="21" t="s">
        <v>95</v>
      </c>
      <c r="G15" s="26" t="s">
        <v>98</v>
      </c>
      <c r="H15" s="27" t="str">
        <f t="shared" si="3"/>
        <v>WizardWrx.AnyCSV.Parser.CARAT</v>
      </c>
      <c r="I15" s="27" t="str">
        <f t="shared" si="4"/>
        <v>'\x005E'</v>
      </c>
      <c r="J15" s="27" t="str">
        <f t="shared" si="6"/>
        <v>public const char CARAT='\x005E';  // Delimiter Character</v>
      </c>
      <c r="K15" s="35" t="s">
        <v>123</v>
      </c>
      <c r="L15" s="36" t="s">
        <v>102</v>
      </c>
      <c r="M15" s="37" t="str">
        <f t="shared" si="5"/>
        <v>WizardWrx.AnyCSV.Parser.DelimiterChar.Carat</v>
      </c>
      <c r="N15" s="37">
        <v>3</v>
      </c>
      <c r="O15" s="37" t="str">
        <f t="shared" si="7"/>
        <v>0x03</v>
      </c>
      <c r="P15" s="37" t="str">
        <f t="shared" si="8"/>
        <v>00000011</v>
      </c>
      <c r="Q15" s="52" t="s">
        <v>154</v>
      </c>
      <c r="R15" s="53">
        <v>3</v>
      </c>
      <c r="S15" s="52" t="s">
        <v>139</v>
      </c>
      <c r="T15" s="53" t="s">
        <v>140</v>
      </c>
    </row>
    <row r="16" spans="1:20" outlineLevel="2" x14ac:dyDescent="0.25">
      <c r="A16" s="16">
        <v>32</v>
      </c>
      <c r="B16" s="17" t="str">
        <f t="shared" si="0"/>
        <v>0x20</v>
      </c>
      <c r="C16" s="17" t="str">
        <f t="shared" si="1"/>
        <v>00100000</v>
      </c>
      <c r="D16" s="17" t="str">
        <f t="shared" si="2"/>
        <v xml:space="preserve"> </v>
      </c>
      <c r="E16" s="17" t="s">
        <v>103</v>
      </c>
      <c r="F16" s="17" t="s">
        <v>95</v>
      </c>
      <c r="G16" s="14" t="s">
        <v>99</v>
      </c>
      <c r="H16" s="15" t="str">
        <f t="shared" si="3"/>
        <v>WizardWrx.AnyCSV.Parser.SPACE</v>
      </c>
      <c r="I16" s="15" t="str">
        <f t="shared" si="4"/>
        <v>'\x0020'</v>
      </c>
      <c r="J16" s="15" t="str">
        <f t="shared" si="6"/>
        <v>public const char SPACE='\x0020';  // Delimiter Character</v>
      </c>
      <c r="K16" s="41" t="s">
        <v>123</v>
      </c>
      <c r="L16" s="30" t="s">
        <v>103</v>
      </c>
      <c r="M16" s="31" t="str">
        <f t="shared" si="5"/>
        <v>WizardWrx.AnyCSV.Parser.DelimiterChar.Space</v>
      </c>
      <c r="N16" s="31">
        <v>4</v>
      </c>
      <c r="O16" s="31" t="str">
        <f t="shared" si="7"/>
        <v>0x04</v>
      </c>
      <c r="P16" s="31" t="str">
        <f t="shared" si="8"/>
        <v>00000100</v>
      </c>
      <c r="Q16" s="50" t="s">
        <v>154</v>
      </c>
      <c r="R16" s="51">
        <v>4</v>
      </c>
      <c r="S16" s="50" t="s">
        <v>141</v>
      </c>
      <c r="T16" s="51" t="s">
        <v>142</v>
      </c>
    </row>
    <row r="17" spans="1:20" ht="15.75" outlineLevel="1" x14ac:dyDescent="0.25">
      <c r="A17" s="43"/>
      <c r="B17" s="43"/>
      <c r="C17" s="43"/>
      <c r="D17" s="43"/>
      <c r="E17" s="43"/>
      <c r="F17" s="44" t="s">
        <v>121</v>
      </c>
      <c r="G17" s="45">
        <f>SUBTOTAL(3,G12:G16)</f>
        <v>5</v>
      </c>
      <c r="H17" s="43"/>
      <c r="I17" s="43"/>
      <c r="J17" s="43"/>
      <c r="K17" s="35"/>
      <c r="L17" s="36"/>
      <c r="M17" s="37" t="str">
        <f t="shared" si="5"/>
        <v/>
      </c>
      <c r="N17" s="37"/>
      <c r="O17" s="37" t="str">
        <f t="shared" si="7"/>
        <v/>
      </c>
      <c r="P17" s="37" t="str">
        <f t="shared" si="8"/>
        <v/>
      </c>
      <c r="Q17" s="52"/>
      <c r="R17" s="53"/>
      <c r="S17" s="52"/>
      <c r="T17" s="53"/>
    </row>
    <row r="18" spans="1:20" ht="15.75" x14ac:dyDescent="0.25">
      <c r="A18" s="43"/>
      <c r="B18" s="43"/>
      <c r="C18" s="43"/>
      <c r="D18" s="43"/>
      <c r="E18" s="43"/>
      <c r="F18" s="44" t="s">
        <v>122</v>
      </c>
      <c r="G18" s="45">
        <f>SUBTOTAL(3,G8:G16)</f>
        <v>8</v>
      </c>
      <c r="H18" s="43"/>
      <c r="I18" s="43"/>
      <c r="J18" s="43"/>
      <c r="K18" s="41"/>
      <c r="L18" s="30"/>
      <c r="M18" s="31" t="str">
        <f t="shared" si="5"/>
        <v/>
      </c>
      <c r="N18" s="31"/>
      <c r="O18" s="31" t="str">
        <f t="shared" si="7"/>
        <v/>
      </c>
      <c r="P18" s="31" t="str">
        <f t="shared" si="8"/>
        <v/>
      </c>
      <c r="Q18" s="50"/>
      <c r="R18" s="51"/>
      <c r="S18" s="50"/>
      <c r="T18" s="51"/>
    </row>
    <row r="19" spans="1:20" x14ac:dyDescent="0.25">
      <c r="K19" s="35" t="s">
        <v>125</v>
      </c>
      <c r="L19" s="36" t="s">
        <v>126</v>
      </c>
      <c r="M19" s="37" t="str">
        <f t="shared" si="5"/>
        <v>WizardWrx.AnyCSV.Parser.GuardDisposition.Strip</v>
      </c>
      <c r="N19" s="37">
        <v>0</v>
      </c>
      <c r="O19" s="37" t="str">
        <f t="shared" si="7"/>
        <v>0x00</v>
      </c>
      <c r="P19" s="37" t="str">
        <f t="shared" si="8"/>
        <v>00000000</v>
      </c>
      <c r="Q19" s="52"/>
      <c r="R19" s="53"/>
      <c r="S19" s="52"/>
      <c r="T19" s="53"/>
    </row>
    <row r="20" spans="1:20" x14ac:dyDescent="0.25">
      <c r="K20" s="41" t="s">
        <v>125</v>
      </c>
      <c r="L20" s="30" t="s">
        <v>127</v>
      </c>
      <c r="M20" s="31" t="str">
        <f t="shared" si="5"/>
        <v>WizardWrx.AnyCSV.Parser.GuardDisposition.Keep</v>
      </c>
      <c r="N20" s="31">
        <v>1</v>
      </c>
      <c r="O20" s="31" t="str">
        <f t="shared" si="7"/>
        <v>0x01</v>
      </c>
      <c r="P20" s="31" t="str">
        <f t="shared" si="8"/>
        <v>00000001</v>
      </c>
      <c r="Q20" s="50"/>
      <c r="R20" s="51"/>
      <c r="S20" s="50"/>
      <c r="T20" s="51"/>
    </row>
    <row r="21" spans="1:20" x14ac:dyDescent="0.25">
      <c r="K21" s="35"/>
      <c r="L21" s="36"/>
      <c r="M21" s="37" t="str">
        <f t="shared" si="5"/>
        <v/>
      </c>
      <c r="N21" s="37"/>
      <c r="O21" s="37" t="str">
        <f t="shared" si="7"/>
        <v/>
      </c>
      <c r="P21" s="37" t="str">
        <f t="shared" si="8"/>
        <v/>
      </c>
      <c r="Q21" s="52"/>
      <c r="R21" s="53"/>
      <c r="S21" s="52"/>
      <c r="T21" s="53"/>
    </row>
    <row r="22" spans="1:20" x14ac:dyDescent="0.25">
      <c r="K22" s="41" t="s">
        <v>128</v>
      </c>
      <c r="L22" s="30" t="s">
        <v>129</v>
      </c>
      <c r="M22" s="31" t="str">
        <f t="shared" si="5"/>
        <v>WizardWrx.AnyCSV.Parser.TrimWhiteSpace.Leave</v>
      </c>
      <c r="N22" s="31">
        <v>0</v>
      </c>
      <c r="O22" s="31" t="str">
        <f t="shared" si="7"/>
        <v>0x00</v>
      </c>
      <c r="P22" s="31" t="str">
        <f t="shared" si="8"/>
        <v>00000000</v>
      </c>
      <c r="Q22" s="50"/>
      <c r="R22" s="51"/>
      <c r="S22" s="50"/>
      <c r="T22" s="51"/>
    </row>
    <row r="23" spans="1:20" x14ac:dyDescent="0.25">
      <c r="K23" s="35" t="s">
        <v>128</v>
      </c>
      <c r="L23" s="36" t="s">
        <v>130</v>
      </c>
      <c r="M23" s="37" t="str">
        <f t="shared" si="5"/>
        <v>WizardWrx.AnyCSV.Parser.TrimWhiteSpace.TrimLeading</v>
      </c>
      <c r="N23" s="37">
        <v>1</v>
      </c>
      <c r="O23" s="37" t="str">
        <f t="shared" si="7"/>
        <v>0x01</v>
      </c>
      <c r="P23" s="37" t="str">
        <f t="shared" si="8"/>
        <v>00000001</v>
      </c>
      <c r="Q23" s="52"/>
      <c r="R23" s="53"/>
      <c r="S23" s="52"/>
      <c r="T23" s="53"/>
    </row>
    <row r="24" spans="1:20" x14ac:dyDescent="0.25">
      <c r="K24" s="41" t="s">
        <v>128</v>
      </c>
      <c r="L24" s="30" t="s">
        <v>131</v>
      </c>
      <c r="M24" s="31" t="str">
        <f t="shared" si="5"/>
        <v>WizardWrx.AnyCSV.Parser.TrimWhiteSpace.TrimTrailing</v>
      </c>
      <c r="N24" s="31">
        <v>2</v>
      </c>
      <c r="O24" s="31" t="str">
        <f t="shared" si="7"/>
        <v>0x02</v>
      </c>
      <c r="P24" s="31" t="str">
        <f t="shared" si="8"/>
        <v>00000010</v>
      </c>
      <c r="Q24" s="50"/>
      <c r="R24" s="51"/>
      <c r="S24" s="50"/>
      <c r="T24" s="51"/>
    </row>
    <row r="25" spans="1:20" x14ac:dyDescent="0.25">
      <c r="K25" s="35" t="s">
        <v>128</v>
      </c>
      <c r="L25" s="36" t="s">
        <v>132</v>
      </c>
      <c r="M25" s="37" t="str">
        <f t="shared" si="5"/>
        <v>WizardWrx.AnyCSV.Parser.TrimWhiteSpace.TrimBoth</v>
      </c>
      <c r="N25" s="37">
        <v>3</v>
      </c>
      <c r="O25" s="37" t="str">
        <f t="shared" si="7"/>
        <v>0x03</v>
      </c>
      <c r="P25" s="37" t="str">
        <f t="shared" si="8"/>
        <v>00000011</v>
      </c>
      <c r="Q25" s="52"/>
      <c r="R25" s="53"/>
      <c r="S25" s="52"/>
      <c r="T25" s="53"/>
    </row>
    <row r="26" spans="1:20" x14ac:dyDescent="0.25">
      <c r="K26" s="41"/>
      <c r="L26" s="30"/>
      <c r="M26" s="31" t="str">
        <f t="shared" si="5"/>
        <v/>
      </c>
      <c r="N26" s="31"/>
      <c r="O26" s="31" t="str">
        <f t="shared" si="7"/>
        <v/>
      </c>
      <c r="P26" s="31" t="str">
        <f t="shared" si="8"/>
        <v/>
      </c>
      <c r="Q26" s="50"/>
      <c r="R26" s="51"/>
      <c r="S26" s="50"/>
      <c r="T26" s="51"/>
    </row>
    <row r="27" spans="1:20" x14ac:dyDescent="0.25">
      <c r="K27" s="35"/>
      <c r="L27" s="36"/>
      <c r="M27" s="37" t="str">
        <f t="shared" si="5"/>
        <v/>
      </c>
      <c r="N27" s="37"/>
      <c r="O27" s="37" t="str">
        <f t="shared" si="7"/>
        <v/>
      </c>
      <c r="P27" s="37" t="str">
        <f t="shared" si="8"/>
        <v/>
      </c>
      <c r="Q27" s="52"/>
      <c r="R27" s="53"/>
      <c r="S27" s="52"/>
      <c r="T27" s="53"/>
    </row>
    <row r="28" spans="1:20" x14ac:dyDescent="0.25">
      <c r="K28" s="41"/>
      <c r="L28" s="30"/>
      <c r="M28" s="31" t="str">
        <f t="shared" si="5"/>
        <v/>
      </c>
      <c r="N28" s="31"/>
      <c r="O28" s="31" t="str">
        <f t="shared" si="7"/>
        <v/>
      </c>
      <c r="P28" s="31" t="str">
        <f t="shared" si="8"/>
        <v/>
      </c>
      <c r="Q28" s="46"/>
      <c r="R28" s="47"/>
      <c r="S28" s="46"/>
      <c r="T28" s="47"/>
    </row>
  </sheetData>
  <mergeCells count="12">
    <mergeCell ref="K6:P6"/>
    <mergeCell ref="Q6:T6"/>
    <mergeCell ref="A1:C1"/>
    <mergeCell ref="D1:E1"/>
    <mergeCell ref="A6:F6"/>
    <mergeCell ref="G6:J6"/>
    <mergeCell ref="A2:C2"/>
    <mergeCell ref="A3:C3"/>
    <mergeCell ref="A4:C4"/>
    <mergeCell ref="D2:E2"/>
    <mergeCell ref="D3:E3"/>
    <mergeCell ref="D4:E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D1" workbookViewId="0">
      <selection activeCell="H6" sqref="H6"/>
    </sheetView>
  </sheetViews>
  <sheetFormatPr defaultRowHeight="15" x14ac:dyDescent="0.25"/>
  <cols>
    <col min="1" max="1" width="13" customWidth="1"/>
    <col min="2" max="2" width="10.875" customWidth="1"/>
    <col min="3" max="3" width="15" bestFit="1" customWidth="1"/>
    <col min="4" max="4" width="27.375" bestFit="1" customWidth="1"/>
    <col min="5" max="5" width="16" bestFit="1" customWidth="1"/>
    <col min="6" max="6" width="12.125" bestFit="1" customWidth="1"/>
    <col min="7" max="7" width="13" bestFit="1" customWidth="1"/>
    <col min="8" max="8" width="22.125" bestFit="1" customWidth="1"/>
    <col min="9" max="9" width="21" bestFit="1" customWidth="1"/>
  </cols>
  <sheetData>
    <row r="1" spans="1:9" ht="18" x14ac:dyDescent="0.25">
      <c r="A1" s="80" t="s">
        <v>158</v>
      </c>
      <c r="B1" s="82" t="s">
        <v>155</v>
      </c>
      <c r="C1" s="82"/>
      <c r="D1" s="83"/>
      <c r="E1" s="84" t="s">
        <v>163</v>
      </c>
      <c r="F1" s="82"/>
      <c r="G1" s="82"/>
      <c r="H1" s="82"/>
      <c r="I1" s="83"/>
    </row>
    <row r="2" spans="1:9" ht="18" x14ac:dyDescent="0.25">
      <c r="A2" s="81"/>
      <c r="B2" s="72" t="s">
        <v>156</v>
      </c>
      <c r="C2" s="72" t="s">
        <v>159</v>
      </c>
      <c r="D2" s="73" t="s">
        <v>157</v>
      </c>
      <c r="E2" s="73" t="s">
        <v>164</v>
      </c>
      <c r="F2" s="73" t="s">
        <v>167</v>
      </c>
      <c r="G2" s="73" t="s">
        <v>168</v>
      </c>
      <c r="H2" s="73" t="s">
        <v>125</v>
      </c>
      <c r="I2" s="73" t="s">
        <v>128</v>
      </c>
    </row>
    <row r="3" spans="1:9" x14ac:dyDescent="0.25">
      <c r="A3" s="74">
        <v>1</v>
      </c>
      <c r="B3" s="75" t="str">
        <f>CONCATENATE("SCENARIO_",A3)</f>
        <v>SCENARIO_1</v>
      </c>
      <c r="C3" s="75" t="s">
        <v>160</v>
      </c>
      <c r="D3" s="76" t="str">
        <f>CONCATENATE("Scenario ",A3,": ",C3)</f>
        <v>Scenario 1: Robust Parsing</v>
      </c>
      <c r="E3" s="76" t="s">
        <v>165</v>
      </c>
      <c r="F3" s="76" t="s">
        <v>91</v>
      </c>
      <c r="G3" s="76" t="s">
        <v>84</v>
      </c>
      <c r="H3" s="76" t="s">
        <v>169</v>
      </c>
      <c r="I3" s="76" t="s">
        <v>170</v>
      </c>
    </row>
    <row r="4" spans="1:9" x14ac:dyDescent="0.25">
      <c r="A4" s="77">
        <v>2</v>
      </c>
      <c r="B4" s="78" t="str">
        <f>CONCATENATE("SCENARIO_",A4)</f>
        <v>SCENARIO_2</v>
      </c>
      <c r="C4" s="78" t="s">
        <v>161</v>
      </c>
      <c r="D4" s="79" t="str">
        <f t="shared" ref="D4:D5" si="0">CONCATENATE("Scenario ",A4,": ",C4)</f>
        <v>Scenario 2: Keep Guards</v>
      </c>
      <c r="E4" s="79" t="s">
        <v>166</v>
      </c>
      <c r="F4" s="79" t="s">
        <v>91</v>
      </c>
      <c r="G4" s="79" t="s">
        <v>84</v>
      </c>
      <c r="H4" s="79" t="s">
        <v>127</v>
      </c>
      <c r="I4" s="79" t="s">
        <v>170</v>
      </c>
    </row>
    <row r="5" spans="1:9" x14ac:dyDescent="0.25">
      <c r="A5" s="69">
        <v>3</v>
      </c>
      <c r="B5" s="70" t="str">
        <f>CONCATENATE("SCENARIO_",A5)</f>
        <v>SCENARIO_3</v>
      </c>
      <c r="C5" s="70" t="s">
        <v>162</v>
      </c>
      <c r="D5" s="71" t="str">
        <f t="shared" si="0"/>
        <v>Scenario 3: Trim Leading</v>
      </c>
      <c r="E5" s="71"/>
      <c r="F5" s="71" t="s">
        <v>91</v>
      </c>
      <c r="G5" s="71" t="s">
        <v>84</v>
      </c>
      <c r="H5" s="71" t="s">
        <v>126</v>
      </c>
      <c r="I5" s="71" t="s">
        <v>130</v>
      </c>
    </row>
  </sheetData>
  <mergeCells count="3">
    <mergeCell ref="A1:A2"/>
    <mergeCell ref="B1:D1"/>
    <mergeCell ref="E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CP CSV Parser Local Variables</vt:lpstr>
      <vt:lpstr>AnyCSV Parameters</vt:lpstr>
      <vt:lpstr>Test Scenarios</vt:lpstr>
      <vt:lpstr>Clase</vt:lpstr>
      <vt:lpstr>Delimiter_Character_Count</vt:lpstr>
      <vt:lpstr>Fully_Qualfied_Class</vt:lpstr>
      <vt:lpstr>Grand_Count</vt:lpstr>
      <vt:lpstr>Local_Namespace</vt:lpstr>
      <vt:lpstr>Protect_Delimiter_Count</vt:lpstr>
      <vt:lpstr>Root_Namespace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Development Worksheets</dc:title>
  <dc:subject>CSVParser, version 1.1</dc:subject>
  <dc:creator>David A. Gray</dc:creator>
  <cp:lastModifiedBy>David A. Gray</cp:lastModifiedBy>
  <dcterms:created xsi:type="dcterms:W3CDTF">2014-07-05T18:11:53Z</dcterms:created>
  <dcterms:modified xsi:type="dcterms:W3CDTF">2014-07-07T05:37:45Z</dcterms:modified>
</cp:coreProperties>
</file>